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3e37e09092f390/Desktop/"/>
    </mc:Choice>
  </mc:AlternateContent>
  <xr:revisionPtr revIDLastSave="248" documentId="8_{4361AA54-64A4-482E-AC68-95CA6F32623B}" xr6:coauthVersionLast="47" xr6:coauthVersionMax="47" xr10:uidLastSave="{126DBE0B-76BB-449B-A8DD-170CDF621731}"/>
  <bookViews>
    <workbookView xWindow="-108" yWindow="-108" windowWidth="23256" windowHeight="12456" activeTab="6" xr2:uid="{1CF394FB-89CB-43D0-8724-C1604E6401BB}"/>
  </bookViews>
  <sheets>
    <sheet name="QUESTION 2" sheetId="1" r:id="rId1"/>
    <sheet name="QUESTION 3" sheetId="2" r:id="rId2"/>
    <sheet name="QUESTION 4" sheetId="3" r:id="rId3"/>
    <sheet name="QUESTION 5" sheetId="4" r:id="rId4"/>
    <sheet name="QUESTION 6" sheetId="5" r:id="rId5"/>
    <sheet name="QUESTION 7" sheetId="6" r:id="rId6"/>
    <sheet name="QUESTION 8" sheetId="7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" i="7" l="1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L5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2" i="4"/>
  <c r="L4" i="3"/>
  <c r="H7" i="2"/>
  <c r="I5" i="1"/>
</calcChain>
</file>

<file path=xl/sharedStrings.xml><?xml version="1.0" encoding="utf-8"?>
<sst xmlns="http://schemas.openxmlformats.org/spreadsheetml/2006/main" count="948" uniqueCount="116">
  <si>
    <t>Q2.Write a formula to calculate the total sales of Car and Bicyle only only.</t>
  </si>
  <si>
    <t>VEHICLE</t>
  </si>
  <si>
    <t>PRICE</t>
  </si>
  <si>
    <t>CAR</t>
  </si>
  <si>
    <t>BICYCLE</t>
  </si>
  <si>
    <t xml:space="preserve">  </t>
  </si>
  <si>
    <t>TOTAL SALES OF CAR AND BICYCLE</t>
  </si>
  <si>
    <t>AUTO RICKSHAW</t>
  </si>
  <si>
    <t>Q3.Using the data below, write a formula to calculate the average sales of items priced above 100 but less than 300:</t>
  </si>
  <si>
    <t>ITEM</t>
  </si>
  <si>
    <t>SALES</t>
  </si>
  <si>
    <t xml:space="preserve"> ITEM A</t>
  </si>
  <si>
    <t xml:space="preserve"> ITEM B</t>
  </si>
  <si>
    <t>ITEM C</t>
  </si>
  <si>
    <t>AVERAGE SALES OF ITEM PRICED &gt;100 AND &lt;300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</si>
  <si>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</si>
  <si>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</si>
  <si>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</si>
  <si>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</si>
  <si>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</si>
  <si>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</si>
  <si>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</si>
  <si>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</si>
  <si>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</si>
  <si>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</si>
  <si>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</si>
  <si>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</si>
  <si>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</si>
  <si>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</si>
  <si>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</si>
  <si>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</si>
  <si>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</si>
  <si>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</si>
  <si>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</si>
  <si>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</si>
  <si>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</si>
  <si>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</si>
  <si>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</si>
  <si>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</si>
  <si>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</si>
  <si>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</si>
  <si>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</si>
  <si>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</si>
  <si>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</si>
  <si>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</si>
  <si>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</si>
  <si>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</si>
  <si>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</si>
  <si>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</si>
  <si>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</si>
  <si>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</si>
  <si>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</si>
  <si>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</si>
  <si>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</si>
  <si>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</si>
  <si>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</si>
  <si>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</si>
  <si>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</si>
  <si>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</si>
  <si>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</si>
  <si>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</si>
  <si>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</si>
  <si>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</si>
  <si>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</si>
  <si>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</si>
  <si>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</si>
  <si>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</si>
  <si>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</si>
  <si>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</si>
  <si>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</si>
  <si>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</si>
  <si>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</si>
  <si>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</si>
  <si>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</si>
  <si>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</si>
  <si>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</si>
  <si>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</si>
  <si>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</si>
  <si>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</si>
  <si>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</si>
  <si>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</si>
  <si>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</si>
  <si>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</si>
  <si>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</si>
  <si>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</si>
  <si>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</si>
  <si>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</si>
  <si>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</si>
  <si>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</si>
  <si>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</si>
  <si>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</si>
  <si>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</si>
  <si>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</si>
  <si>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</si>
  <si>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</si>
  <si>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</si>
  <si>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</si>
  <si>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</si>
  <si>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</si>
  <si>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</si>
  <si>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</si>
  <si>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</si>
  <si>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</si>
  <si>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</si>
  <si>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</si>
  <si>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</si>
  <si>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</si>
  <si>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Q4.Count how many customer names are recorded.</t>
  </si>
  <si>
    <t>Q5.Calculate the Total Sales for each row using a formula.</t>
  </si>
  <si>
    <t>TOTAL SALES</t>
  </si>
  <si>
    <t>Q6.Calculate the total sales of Notebooks in the North region only</t>
  </si>
  <si>
    <t>Q7.Create a column chart showing total sales by product.</t>
  </si>
  <si>
    <t>Q8.Insert a line chart showing daily sales trend.</t>
  </si>
  <si>
    <t>PRODUCT</t>
  </si>
  <si>
    <t>Sum of TOTAL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</si>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</sst>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/>
    <xf numFmtId="0" fontId="3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6" borderId="0" xfId="0" applyFont="1" applyFill="1"/>
    <xf numFmtId="0" fontId="3" fillId="7" borderId="1" xfId="0" applyFont="1" applyFill="1" applyBorder="1"/>
    <xf numFmtId="0" fontId="0" fillId="8" borderId="0" xfId="0" applyFill="1"/>
    <xf numFmtId="0" fontId="1" fillId="7" borderId="0" xfId="0" applyFont="1" applyFill="1" applyAlignment="1">
      <alignment horizontal="center"/>
    </xf>
    <xf numFmtId="0" fontId="0" fillId="4" borderId="0" xfId="0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5" borderId="0" xfId="0" applyFont="1" applyFill="1"/>
    <xf numFmtId="0" fontId="3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6" fillId="9" borderId="0" xfId="0" applyFont="1" applyFill="1"/>
    <xf numFmtId="0" fontId="7" fillId="3" borderId="0" xfId="0" applyFont="1" applyFill="1"/>
    <xf numFmtId="0" fontId="7" fillId="9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2" fillId="10" borderId="0" xfId="0" applyFont="1" applyFill="1"/>
    <xf numFmtId="0" fontId="0" fillId="10" borderId="0" xfId="0" applyFill="1"/>
    <xf numFmtId="0" fontId="2" fillId="10" borderId="0" xfId="0" applyFont="1" applyFill="1" applyAlignment="1">
      <alignment vertical="center"/>
    </xf>
  </cellXfs>
  <cellStyles count="1">
    <cellStyle name="Normal" xfId="0" builtinId="0"/>
  </cellStyles>
  <dxfs count="6">
    <dxf>
      <font>
        <b/>
        <family val="2"/>
      </font>
    </dxf>
    <dxf>
      <font>
        <b/>
        <family val="2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BASIC ASSIGNMENT.xlsx]QUESTION 7!PivotTable2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7'!$L$4:$L$9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'QUESTION 7'!$M$4:$M$9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1-4768-8BC0-1A0C32C51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806352"/>
        <c:axId val="2114808752"/>
      </c:barChart>
      <c:catAx>
        <c:axId val="211480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808752"/>
        <c:crosses val="autoZero"/>
        <c:auto val="1"/>
        <c:lblAlgn val="ctr"/>
        <c:lblOffset val="100"/>
        <c:noMultiLvlLbl val="0"/>
      </c:catAx>
      <c:valAx>
        <c:axId val="211480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80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69937445319335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8'!$H$1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'QUESTION 8'!$G$2:$G$51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'QUESTION 8'!$H$2:$H$51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F-4CFF-9590-CC9FD17EF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924512"/>
        <c:axId val="1330924992"/>
      </c:lineChart>
      <c:catAx>
        <c:axId val="13309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924992"/>
        <c:crosses val="autoZero"/>
        <c:auto val="1"/>
        <c:lblAlgn val="ctr"/>
        <c:lblOffset val="100"/>
        <c:noMultiLvlLbl val="0"/>
      </c:catAx>
      <c:valAx>
        <c:axId val="13309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92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171450</xdr:rowOff>
    </xdr:from>
    <xdr:to>
      <xdr:col>15</xdr:col>
      <xdr:colOff>30480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6102A6-2A0F-2033-2B49-321F2A812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411480</xdr:colOff>
      <xdr:row>3</xdr:row>
      <xdr:rowOff>167640</xdr:rowOff>
    </xdr:from>
    <xdr:to>
      <xdr:col>22</xdr:col>
      <xdr:colOff>15240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53ECC-C631-77CE-FEE4-0EE73C8CF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%20(1)%20AN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ay" refreshedDate="46022.899132407409" createdVersion="8" refreshedVersion="8" minRefreshableVersion="3" recordCount="50" xr:uid="{8A889FDB-8862-4396-A5F0-DC50CADCF3AF}">
  <cacheSource type="worksheet">
    <worksheetSource ref="D1:H51" sheet="Q7" r:id="rId2"/>
  </cacheSource>
  <cacheFields count="5"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0"/>
    <n v="50"/>
    <d v="2024-05-01T00:00:00"/>
    <n v="500"/>
  </r>
  <r>
    <x v="1"/>
    <n v="20"/>
    <n v="10"/>
    <d v="2024-06-01T00:00:00"/>
    <n v="200"/>
  </r>
  <r>
    <x v="2"/>
    <n v="15"/>
    <n v="25"/>
    <d v="2024-07-01T00:00:00"/>
    <n v="375"/>
  </r>
  <r>
    <x v="0"/>
    <n v="5"/>
    <n v="50"/>
    <d v="2024-08-01T00:00:00"/>
    <n v="250"/>
  </r>
  <r>
    <x v="3"/>
    <n v="30"/>
    <n v="5"/>
    <d v="2024-10-01T00:00:00"/>
    <n v="150"/>
  </r>
  <r>
    <x v="0"/>
    <n v="12"/>
    <n v="50"/>
    <d v="2024-11-01T00:00:00"/>
    <n v="600"/>
  </r>
  <r>
    <x v="4"/>
    <n v="25"/>
    <n v="8"/>
    <s v="13-01-2024"/>
    <n v="200"/>
  </r>
  <r>
    <x v="1"/>
    <n v="18"/>
    <n v="10"/>
    <s v="15-01-2024"/>
    <n v="180"/>
  </r>
  <r>
    <x v="2"/>
    <n v="22"/>
    <n v="25"/>
    <s v="17-01-2024"/>
    <n v="550"/>
  </r>
  <r>
    <x v="0"/>
    <n v="8"/>
    <n v="50"/>
    <s v="18-01-2024"/>
    <n v="400"/>
  </r>
  <r>
    <x v="3"/>
    <n v="40"/>
    <n v="5"/>
    <s v="19-01-2024"/>
    <n v="200"/>
  </r>
  <r>
    <x v="4"/>
    <n v="35"/>
    <n v="8"/>
    <s v="20-01-2024"/>
    <n v="280"/>
  </r>
  <r>
    <x v="0"/>
    <n v="14"/>
    <n v="50"/>
    <s v="22-01-2024"/>
    <n v="700"/>
  </r>
  <r>
    <x v="1"/>
    <n v="28"/>
    <n v="10"/>
    <s v="23-01-2024"/>
    <n v="280"/>
  </r>
  <r>
    <x v="2"/>
    <n v="12"/>
    <n v="25"/>
    <s v="24-01-2024"/>
    <n v="300"/>
  </r>
  <r>
    <x v="3"/>
    <n v="25"/>
    <n v="5"/>
    <s v="26-01-2024"/>
    <n v="125"/>
  </r>
  <r>
    <x v="4"/>
    <n v="20"/>
    <n v="8"/>
    <s v="28-01-2024"/>
    <n v="160"/>
  </r>
  <r>
    <x v="0"/>
    <n v="10"/>
    <n v="50"/>
    <s v="29-01-2024"/>
    <n v="500"/>
  </r>
  <r>
    <x v="1"/>
    <n v="15"/>
    <n v="10"/>
    <s v="30-01-2024"/>
    <n v="150"/>
  </r>
  <r>
    <x v="2"/>
    <n v="18"/>
    <n v="25"/>
    <d v="2024-01-02T00:00:00"/>
    <n v="450"/>
  </r>
  <r>
    <x v="0"/>
    <n v="9"/>
    <n v="50"/>
    <d v="2024-02-02T00:00:00"/>
    <n v="450"/>
  </r>
  <r>
    <x v="3"/>
    <n v="35"/>
    <n v="5"/>
    <d v="2024-03-02T00:00:00"/>
    <n v="175"/>
  </r>
  <r>
    <x v="4"/>
    <n v="30"/>
    <n v="8"/>
    <d v="2024-04-02T00:00:00"/>
    <n v="240"/>
  </r>
  <r>
    <x v="0"/>
    <n v="11"/>
    <n v="50"/>
    <d v="2024-06-02T00:00:00"/>
    <n v="550"/>
  </r>
  <r>
    <x v="1"/>
    <n v="14"/>
    <n v="10"/>
    <d v="2024-07-02T00:00:00"/>
    <n v="140"/>
  </r>
  <r>
    <x v="2"/>
    <n v="16"/>
    <n v="25"/>
    <d v="2024-08-02T00:00:00"/>
    <n v="400"/>
  </r>
  <r>
    <x v="3"/>
    <n v="22"/>
    <n v="5"/>
    <d v="2024-09-02T00:00:00"/>
    <n v="110"/>
  </r>
  <r>
    <x v="4"/>
    <n v="27"/>
    <n v="8"/>
    <d v="2024-10-02T00:00:00"/>
    <n v="216"/>
  </r>
  <r>
    <x v="0"/>
    <n v="13"/>
    <n v="50"/>
    <d v="2024-12-02T00:00:00"/>
    <n v="650"/>
  </r>
  <r>
    <x v="1"/>
    <n v="32"/>
    <n v="10"/>
    <s v="13-02-2024"/>
    <n v="320"/>
  </r>
  <r>
    <x v="2"/>
    <n v="10"/>
    <n v="25"/>
    <s v="14-02-2024"/>
    <n v="250"/>
  </r>
  <r>
    <x v="3"/>
    <n v="18"/>
    <n v="5"/>
    <s v="16-02-2024"/>
    <n v="90"/>
  </r>
  <r>
    <x v="4"/>
    <n v="22"/>
    <n v="8"/>
    <s v="17-02-2024"/>
    <n v="176"/>
  </r>
  <r>
    <x v="0"/>
    <n v="17"/>
    <n v="50"/>
    <s v="18-02-2024"/>
    <n v="850"/>
  </r>
  <r>
    <x v="1"/>
    <n v="19"/>
    <n v="10"/>
    <s v="19-02-2024"/>
    <n v="190"/>
  </r>
  <r>
    <x v="2"/>
    <n v="15"/>
    <n v="25"/>
    <s v="21-02-2024"/>
    <n v="375"/>
  </r>
  <r>
    <x v="3"/>
    <n v="28"/>
    <n v="5"/>
    <s v="22-02-2024"/>
    <n v="140"/>
  </r>
  <r>
    <x v="4"/>
    <n v="24"/>
    <n v="8"/>
    <s v="23-02-2024"/>
    <n v="192"/>
  </r>
  <r>
    <x v="0"/>
    <n v="16"/>
    <n v="50"/>
    <s v="25-02-2024"/>
    <n v="800"/>
  </r>
  <r>
    <x v="1"/>
    <n v="27"/>
    <n v="10"/>
    <s v="26-02-2024"/>
    <n v="270"/>
  </r>
  <r>
    <x v="2"/>
    <n v="21"/>
    <n v="25"/>
    <s v="27-02-2024"/>
    <n v="525"/>
  </r>
  <r>
    <x v="3"/>
    <n v="30"/>
    <n v="5"/>
    <s v="28-02-2024"/>
    <n v="150"/>
  </r>
  <r>
    <x v="4"/>
    <n v="26"/>
    <n v="8"/>
    <d v="2024-01-03T00:00:00"/>
    <n v="208"/>
  </r>
  <r>
    <x v="0"/>
    <n v="14"/>
    <n v="50"/>
    <d v="2024-02-03T00:00:00"/>
    <n v="700"/>
  </r>
  <r>
    <x v="1"/>
    <n v="20"/>
    <n v="10"/>
    <d v="2024-03-03T00:00:00"/>
    <n v="200"/>
  </r>
  <r>
    <x v="2"/>
    <n v="17"/>
    <n v="25"/>
    <d v="2024-04-03T00:00:00"/>
    <n v="425"/>
  </r>
  <r>
    <x v="3"/>
    <n v="19"/>
    <n v="5"/>
    <d v="2024-05-03T00:00:00"/>
    <n v="95"/>
  </r>
  <r>
    <x v="4"/>
    <n v="32"/>
    <n v="8"/>
    <d v="2024-06-03T00:00:00"/>
    <n v="256"/>
  </r>
  <r>
    <x v="0"/>
    <n v="12"/>
    <n v="50"/>
    <d v="2024-07-03T00:00:00"/>
    <n v="600"/>
  </r>
  <r>
    <x v="1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1898E-4BE7-4BE6-8E96-458B4BE9EF5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DUCT">
  <location ref="L3:M9" firstHeaderRow="1" firstDataRow="1" firstDataCol="1"/>
  <pivotFields count="5"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4" baseField="0" baseItem="0"/>
  </dataFields>
  <formats count="6">
    <format dxfId="5">
      <pivotArea dataOnly="0" fieldPosition="0">
        <references count="1">
          <reference field="0" count="0"/>
        </references>
      </pivotArea>
    </format>
    <format dxfId="4">
      <pivotArea dataOnly="0" fieldPosition="0">
        <references count="1">
          <reference field="0" count="0"/>
        </references>
      </pivotArea>
    </format>
    <format dxfId="3">
      <pivotArea collapsedLevelsAreSubtotals="1" fieldPosition="0">
        <references count="1">
          <reference field="0" count="0"/>
        </references>
      </pivotArea>
    </format>
    <format dxfId="2">
      <pivotArea dataOnly="0" labelOnly="1" fieldPosition="0">
        <references count="1">
          <reference field="0" count="0"/>
        </references>
      </pivotArea>
    </format>
    <format dxfId="1">
      <pivotArea collapsedLevelsAreSubtotals="1" fieldPosition="0">
        <references count="1">
          <reference field="0" count="0"/>
        </references>
      </pivotArea>
    </format>
    <format dxfId="0">
      <pivotArea dataOnly="0" labelOnly="1" fieldPosition="0">
        <references count="1">
          <reference field="0" count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EC16-FC93-457C-AE12-79F68890F7FC}">
  <dimension ref="B2:I7"/>
  <sheetViews>
    <sheetView workbookViewId="0">
      <selection activeCell="I1" sqref="I1"/>
    </sheetView>
  </sheetViews>
  <sheetFormatPr defaultRowHeight="14.4" x14ac:dyDescent="0.3"/>
  <cols>
    <col min="2" max="2" width="15.77734375" customWidth="1"/>
    <col min="3" max="3" width="8.88671875" customWidth="1"/>
    <col min="7" max="7" width="10.109375" customWidth="1"/>
    <col min="9" max="9" width="34.6640625" customWidth="1"/>
  </cols>
  <sheetData>
    <row r="2" spans="2:9" x14ac:dyDescent="0.3">
      <c r="B2" s="23" t="s">
        <v>0</v>
      </c>
      <c r="C2" s="24"/>
      <c r="D2" s="24"/>
      <c r="E2" s="24"/>
      <c r="F2" s="24"/>
      <c r="G2" s="24"/>
      <c r="H2" s="24"/>
    </row>
    <row r="4" spans="2:9" x14ac:dyDescent="0.3">
      <c r="B4" s="1" t="s">
        <v>1</v>
      </c>
      <c r="C4" s="1" t="s">
        <v>2</v>
      </c>
      <c r="D4" t="s">
        <v>5</v>
      </c>
      <c r="I4" s="4" t="s">
        <v>6</v>
      </c>
    </row>
    <row r="5" spans="2:9" ht="21" x14ac:dyDescent="0.4">
      <c r="B5" s="5" t="s">
        <v>3</v>
      </c>
      <c r="C5" s="2">
        <v>500000</v>
      </c>
      <c r="I5" s="20">
        <f>SUM(C5,C6)</f>
        <v>510500</v>
      </c>
    </row>
    <row r="6" spans="2:9" x14ac:dyDescent="0.3">
      <c r="B6" s="5" t="s">
        <v>4</v>
      </c>
      <c r="C6" s="2">
        <v>10500</v>
      </c>
    </row>
    <row r="7" spans="2:9" x14ac:dyDescent="0.3">
      <c r="B7" s="5" t="s">
        <v>7</v>
      </c>
      <c r="C7" s="2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142E-D15D-4312-85D7-0374F33BCFED}">
  <dimension ref="B2:I7"/>
  <sheetViews>
    <sheetView workbookViewId="0">
      <selection activeCell="B2" sqref="B2:I2"/>
    </sheetView>
  </sheetViews>
  <sheetFormatPr defaultRowHeight="14.4" x14ac:dyDescent="0.3"/>
  <cols>
    <col min="8" max="8" width="41.44140625" customWidth="1"/>
  </cols>
  <sheetData>
    <row r="2" spans="2:9" x14ac:dyDescent="0.3">
      <c r="B2" s="23" t="s">
        <v>8</v>
      </c>
      <c r="C2" s="24"/>
      <c r="D2" s="24"/>
      <c r="E2" s="24"/>
      <c r="F2" s="24"/>
      <c r="G2" s="24"/>
      <c r="H2" s="24"/>
      <c r="I2" s="24"/>
    </row>
    <row r="4" spans="2:9" x14ac:dyDescent="0.3">
      <c r="B4" s="7" t="s">
        <v>9</v>
      </c>
      <c r="C4" s="7" t="s">
        <v>2</v>
      </c>
      <c r="D4" s="7" t="s">
        <v>10</v>
      </c>
      <c r="E4" s="22"/>
    </row>
    <row r="5" spans="2:9" x14ac:dyDescent="0.3">
      <c r="B5" s="3" t="s">
        <v>11</v>
      </c>
      <c r="C5">
        <v>90</v>
      </c>
      <c r="D5" s="21">
        <v>1000</v>
      </c>
    </row>
    <row r="6" spans="2:9" x14ac:dyDescent="0.3">
      <c r="B6" s="3" t="s">
        <v>12</v>
      </c>
      <c r="C6">
        <v>150</v>
      </c>
      <c r="D6" s="21">
        <v>1200</v>
      </c>
      <c r="H6" s="8" t="s">
        <v>14</v>
      </c>
    </row>
    <row r="7" spans="2:9" ht="21" x14ac:dyDescent="0.4">
      <c r="B7" s="3" t="s">
        <v>13</v>
      </c>
      <c r="C7">
        <v>250</v>
      </c>
      <c r="D7" s="21">
        <v>1500</v>
      </c>
      <c r="H7" s="19">
        <f>AVERAGEIFS(D5:D7,C5:C7,"&gt;100",C5:C7,"&lt;300")</f>
        <v>1350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D50D-DAFD-4E87-9F0B-A9B5DE6A53A0}">
  <dimension ref="A1:P51"/>
  <sheetViews>
    <sheetView workbookViewId="0">
      <selection activeCell="K2" sqref="K2:P2"/>
    </sheetView>
  </sheetViews>
  <sheetFormatPr defaultRowHeight="14.4" x14ac:dyDescent="0.3"/>
  <cols>
    <col min="1" max="1" width="7.5546875" bestFit="1" customWidth="1"/>
    <col min="2" max="2" width="14.21875" bestFit="1" customWidth="1"/>
    <col min="4" max="4" width="9.21875" bestFit="1" customWidth="1"/>
    <col min="5" max="5" width="8.33203125" bestFit="1" customWidth="1"/>
    <col min="6" max="6" width="8.6640625" bestFit="1" customWidth="1"/>
    <col min="7" max="7" width="10.33203125" bestFit="1" customWidth="1"/>
    <col min="12" max="12" width="8.88671875" customWidth="1"/>
  </cols>
  <sheetData>
    <row r="1" spans="1:16" x14ac:dyDescent="0.3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</row>
    <row r="2" spans="1:16" x14ac:dyDescent="0.3">
      <c r="A2" s="10">
        <v>1001</v>
      </c>
      <c r="B2" s="10" t="s">
        <v>22</v>
      </c>
      <c r="C2" s="10" t="s">
        <v>23</v>
      </c>
      <c r="D2" s="10" t="s">
        <v>24</v>
      </c>
      <c r="E2" s="11">
        <v>10</v>
      </c>
      <c r="F2" s="11">
        <v>50</v>
      </c>
      <c r="G2" s="12">
        <v>45413</v>
      </c>
      <c r="K2" s="23" t="s">
        <v>107</v>
      </c>
      <c r="L2" s="24"/>
      <c r="M2" s="24"/>
      <c r="N2" s="24"/>
      <c r="O2" s="24"/>
      <c r="P2" s="24"/>
    </row>
    <row r="3" spans="1:16" x14ac:dyDescent="0.3">
      <c r="A3" s="11">
        <v>1002</v>
      </c>
      <c r="B3" s="10" t="s">
        <v>25</v>
      </c>
      <c r="C3" s="10" t="s">
        <v>26</v>
      </c>
      <c r="D3" s="10" t="s">
        <v>27</v>
      </c>
      <c r="E3" s="11">
        <v>20</v>
      </c>
      <c r="F3" s="11">
        <v>10</v>
      </c>
      <c r="G3" s="12">
        <v>45444</v>
      </c>
    </row>
    <row r="4" spans="1:16" ht="21" x14ac:dyDescent="0.4">
      <c r="A4" s="11">
        <v>1003</v>
      </c>
      <c r="B4" s="10" t="s">
        <v>28</v>
      </c>
      <c r="C4" s="10" t="s">
        <v>29</v>
      </c>
      <c r="D4" s="10" t="s">
        <v>30</v>
      </c>
      <c r="E4" s="11">
        <v>15</v>
      </c>
      <c r="F4" s="11">
        <v>25</v>
      </c>
      <c r="G4" s="12">
        <v>45474</v>
      </c>
      <c r="L4" s="17">
        <f>COUNTA(B2:B51)</f>
        <v>50</v>
      </c>
    </row>
    <row r="5" spans="1:16" x14ac:dyDescent="0.3">
      <c r="A5" s="11">
        <v>1004</v>
      </c>
      <c r="B5" s="10" t="s">
        <v>31</v>
      </c>
      <c r="C5" s="10" t="s">
        <v>32</v>
      </c>
      <c r="D5" s="10" t="s">
        <v>24</v>
      </c>
      <c r="E5" s="11">
        <v>5</v>
      </c>
      <c r="F5" s="11">
        <v>50</v>
      </c>
      <c r="G5" s="12">
        <v>45505</v>
      </c>
    </row>
    <row r="6" spans="1:16" x14ac:dyDescent="0.3">
      <c r="A6" s="11">
        <v>1005</v>
      </c>
      <c r="B6" s="10" t="s">
        <v>33</v>
      </c>
      <c r="C6" s="10" t="s">
        <v>23</v>
      </c>
      <c r="D6" s="10" t="s">
        <v>34</v>
      </c>
      <c r="E6" s="11">
        <v>30</v>
      </c>
      <c r="F6" s="11">
        <v>5</v>
      </c>
      <c r="G6" s="12">
        <v>45566</v>
      </c>
    </row>
    <row r="7" spans="1:16" x14ac:dyDescent="0.3">
      <c r="A7" s="11">
        <v>1006</v>
      </c>
      <c r="B7" s="10" t="s">
        <v>35</v>
      </c>
      <c r="C7" s="10" t="s">
        <v>26</v>
      </c>
      <c r="D7" s="10" t="s">
        <v>24</v>
      </c>
      <c r="E7" s="11">
        <v>12</v>
      </c>
      <c r="F7" s="11">
        <v>50</v>
      </c>
      <c r="G7" s="12">
        <v>45597</v>
      </c>
    </row>
    <row r="8" spans="1:16" x14ac:dyDescent="0.3">
      <c r="A8" s="11">
        <v>1007</v>
      </c>
      <c r="B8" s="10" t="s">
        <v>36</v>
      </c>
      <c r="C8" s="10" t="s">
        <v>29</v>
      </c>
      <c r="D8" s="10" t="s">
        <v>37</v>
      </c>
      <c r="E8" s="11">
        <v>25</v>
      </c>
      <c r="F8" s="11">
        <v>8</v>
      </c>
      <c r="G8" s="11" t="s">
        <v>38</v>
      </c>
    </row>
    <row r="9" spans="1:16" x14ac:dyDescent="0.3">
      <c r="A9" s="11">
        <v>1008</v>
      </c>
      <c r="B9" s="10" t="s">
        <v>39</v>
      </c>
      <c r="C9" s="10" t="s">
        <v>32</v>
      </c>
      <c r="D9" s="10" t="s">
        <v>27</v>
      </c>
      <c r="E9" s="11">
        <v>18</v>
      </c>
      <c r="F9" s="11">
        <v>10</v>
      </c>
      <c r="G9" s="11" t="s">
        <v>40</v>
      </c>
    </row>
    <row r="10" spans="1:16" x14ac:dyDescent="0.3">
      <c r="A10" s="11">
        <v>1009</v>
      </c>
      <c r="B10" s="10" t="s">
        <v>41</v>
      </c>
      <c r="C10" s="10" t="s">
        <v>23</v>
      </c>
      <c r="D10" s="10" t="s">
        <v>30</v>
      </c>
      <c r="E10" s="11">
        <v>22</v>
      </c>
      <c r="F10" s="11">
        <v>25</v>
      </c>
      <c r="G10" s="11" t="s">
        <v>42</v>
      </c>
    </row>
    <row r="11" spans="1:16" x14ac:dyDescent="0.3">
      <c r="A11" s="11">
        <v>1010</v>
      </c>
      <c r="B11" s="10" t="s">
        <v>43</v>
      </c>
      <c r="C11" s="10" t="s">
        <v>26</v>
      </c>
      <c r="D11" s="10" t="s">
        <v>24</v>
      </c>
      <c r="E11" s="11">
        <v>8</v>
      </c>
      <c r="F11" s="11">
        <v>50</v>
      </c>
      <c r="G11" s="11" t="s">
        <v>44</v>
      </c>
    </row>
    <row r="12" spans="1:16" x14ac:dyDescent="0.3">
      <c r="A12" s="11">
        <v>1011</v>
      </c>
      <c r="B12" s="10" t="s">
        <v>45</v>
      </c>
      <c r="C12" s="10" t="s">
        <v>29</v>
      </c>
      <c r="D12" s="10" t="s">
        <v>34</v>
      </c>
      <c r="E12" s="11">
        <v>40</v>
      </c>
      <c r="F12" s="11">
        <v>5</v>
      </c>
      <c r="G12" s="11" t="s">
        <v>46</v>
      </c>
    </row>
    <row r="13" spans="1:16" x14ac:dyDescent="0.3">
      <c r="A13" s="11">
        <v>1012</v>
      </c>
      <c r="B13" s="10" t="s">
        <v>47</v>
      </c>
      <c r="C13" s="10" t="s">
        <v>32</v>
      </c>
      <c r="D13" s="10" t="s">
        <v>37</v>
      </c>
      <c r="E13" s="11">
        <v>35</v>
      </c>
      <c r="F13" s="11">
        <v>8</v>
      </c>
      <c r="G13" s="11" t="s">
        <v>48</v>
      </c>
    </row>
    <row r="14" spans="1:16" x14ac:dyDescent="0.3">
      <c r="A14" s="11">
        <v>1013</v>
      </c>
      <c r="B14" s="10" t="s">
        <v>49</v>
      </c>
      <c r="C14" s="10" t="s">
        <v>23</v>
      </c>
      <c r="D14" s="10" t="s">
        <v>24</v>
      </c>
      <c r="E14" s="11">
        <v>14</v>
      </c>
      <c r="F14" s="11">
        <v>50</v>
      </c>
      <c r="G14" s="11" t="s">
        <v>50</v>
      </c>
    </row>
    <row r="15" spans="1:16" x14ac:dyDescent="0.3">
      <c r="A15" s="11">
        <v>1014</v>
      </c>
      <c r="B15" s="10" t="s">
        <v>51</v>
      </c>
      <c r="C15" s="10" t="s">
        <v>26</v>
      </c>
      <c r="D15" s="10" t="s">
        <v>27</v>
      </c>
      <c r="E15" s="11">
        <v>28</v>
      </c>
      <c r="F15" s="11">
        <v>10</v>
      </c>
      <c r="G15" s="11" t="s">
        <v>52</v>
      </c>
    </row>
    <row r="16" spans="1:16" x14ac:dyDescent="0.3">
      <c r="A16" s="11">
        <v>1015</v>
      </c>
      <c r="B16" s="10" t="s">
        <v>53</v>
      </c>
      <c r="C16" s="10" t="s">
        <v>29</v>
      </c>
      <c r="D16" s="10" t="s">
        <v>30</v>
      </c>
      <c r="E16" s="11">
        <v>12</v>
      </c>
      <c r="F16" s="11">
        <v>25</v>
      </c>
      <c r="G16" s="11" t="s">
        <v>54</v>
      </c>
    </row>
    <row r="17" spans="1:7" x14ac:dyDescent="0.3">
      <c r="A17" s="11">
        <v>1016</v>
      </c>
      <c r="B17" s="10" t="s">
        <v>55</v>
      </c>
      <c r="C17" s="10" t="s">
        <v>32</v>
      </c>
      <c r="D17" s="10" t="s">
        <v>34</v>
      </c>
      <c r="E17" s="11">
        <v>25</v>
      </c>
      <c r="F17" s="11">
        <v>5</v>
      </c>
      <c r="G17" s="11" t="s">
        <v>56</v>
      </c>
    </row>
    <row r="18" spans="1:7" x14ac:dyDescent="0.3">
      <c r="A18" s="11">
        <v>1017</v>
      </c>
      <c r="B18" s="10" t="s">
        <v>57</v>
      </c>
      <c r="C18" s="10" t="s">
        <v>23</v>
      </c>
      <c r="D18" s="10" t="s">
        <v>37</v>
      </c>
      <c r="E18" s="11">
        <v>20</v>
      </c>
      <c r="F18" s="11">
        <v>8</v>
      </c>
      <c r="G18" s="11" t="s">
        <v>58</v>
      </c>
    </row>
    <row r="19" spans="1:7" x14ac:dyDescent="0.3">
      <c r="A19" s="11">
        <v>1018</v>
      </c>
      <c r="B19" s="10" t="s">
        <v>59</v>
      </c>
      <c r="C19" s="10" t="s">
        <v>26</v>
      </c>
      <c r="D19" s="10" t="s">
        <v>24</v>
      </c>
      <c r="E19" s="11">
        <v>10</v>
      </c>
      <c r="F19" s="11">
        <v>50</v>
      </c>
      <c r="G19" s="11" t="s">
        <v>60</v>
      </c>
    </row>
    <row r="20" spans="1:7" x14ac:dyDescent="0.3">
      <c r="A20" s="11">
        <v>1019</v>
      </c>
      <c r="B20" s="10" t="s">
        <v>61</v>
      </c>
      <c r="C20" s="10" t="s">
        <v>29</v>
      </c>
      <c r="D20" s="10" t="s">
        <v>27</v>
      </c>
      <c r="E20" s="11">
        <v>15</v>
      </c>
      <c r="F20" s="11">
        <v>10</v>
      </c>
      <c r="G20" s="11" t="s">
        <v>62</v>
      </c>
    </row>
    <row r="21" spans="1:7" x14ac:dyDescent="0.3">
      <c r="A21" s="11">
        <v>1020</v>
      </c>
      <c r="B21" s="10" t="s">
        <v>63</v>
      </c>
      <c r="C21" s="10" t="s">
        <v>32</v>
      </c>
      <c r="D21" s="10" t="s">
        <v>30</v>
      </c>
      <c r="E21" s="11">
        <v>18</v>
      </c>
      <c r="F21" s="11">
        <v>25</v>
      </c>
      <c r="G21" s="12">
        <v>45293</v>
      </c>
    </row>
    <row r="22" spans="1:7" x14ac:dyDescent="0.3">
      <c r="A22" s="11">
        <v>1021</v>
      </c>
      <c r="B22" s="10" t="s">
        <v>64</v>
      </c>
      <c r="C22" s="10" t="s">
        <v>23</v>
      </c>
      <c r="D22" s="10" t="s">
        <v>24</v>
      </c>
      <c r="E22" s="11">
        <v>9</v>
      </c>
      <c r="F22" s="11">
        <v>50</v>
      </c>
      <c r="G22" s="12">
        <v>45324</v>
      </c>
    </row>
    <row r="23" spans="1:7" x14ac:dyDescent="0.3">
      <c r="A23" s="11">
        <v>1022</v>
      </c>
      <c r="B23" s="10" t="s">
        <v>65</v>
      </c>
      <c r="C23" s="10" t="s">
        <v>26</v>
      </c>
      <c r="D23" s="10" t="s">
        <v>34</v>
      </c>
      <c r="E23" s="11">
        <v>35</v>
      </c>
      <c r="F23" s="11">
        <v>5</v>
      </c>
      <c r="G23" s="12">
        <v>45353</v>
      </c>
    </row>
    <row r="24" spans="1:7" x14ac:dyDescent="0.3">
      <c r="A24" s="11">
        <v>1023</v>
      </c>
      <c r="B24" s="10" t="s">
        <v>66</v>
      </c>
      <c r="C24" s="10" t="s">
        <v>29</v>
      </c>
      <c r="D24" s="10" t="s">
        <v>37</v>
      </c>
      <c r="E24" s="11">
        <v>30</v>
      </c>
      <c r="F24" s="11">
        <v>8</v>
      </c>
      <c r="G24" s="12">
        <v>45384</v>
      </c>
    </row>
    <row r="25" spans="1:7" x14ac:dyDescent="0.3">
      <c r="A25" s="11">
        <v>1024</v>
      </c>
      <c r="B25" s="10" t="s">
        <v>67</v>
      </c>
      <c r="C25" s="10" t="s">
        <v>32</v>
      </c>
      <c r="D25" s="10" t="s">
        <v>24</v>
      </c>
      <c r="E25" s="11">
        <v>11</v>
      </c>
      <c r="F25" s="11">
        <v>50</v>
      </c>
      <c r="G25" s="12">
        <v>45445</v>
      </c>
    </row>
    <row r="26" spans="1:7" x14ac:dyDescent="0.3">
      <c r="A26" s="11">
        <v>1025</v>
      </c>
      <c r="B26" s="10" t="s">
        <v>68</v>
      </c>
      <c r="C26" s="10" t="s">
        <v>23</v>
      </c>
      <c r="D26" s="10" t="s">
        <v>27</v>
      </c>
      <c r="E26" s="11">
        <v>14</v>
      </c>
      <c r="F26" s="11">
        <v>10</v>
      </c>
      <c r="G26" s="12">
        <v>45475</v>
      </c>
    </row>
    <row r="27" spans="1:7" x14ac:dyDescent="0.3">
      <c r="A27" s="11">
        <v>1026</v>
      </c>
      <c r="B27" s="10" t="s">
        <v>69</v>
      </c>
      <c r="C27" s="10" t="s">
        <v>26</v>
      </c>
      <c r="D27" s="10" t="s">
        <v>30</v>
      </c>
      <c r="E27" s="11">
        <v>16</v>
      </c>
      <c r="F27" s="11">
        <v>25</v>
      </c>
      <c r="G27" s="12">
        <v>45506</v>
      </c>
    </row>
    <row r="28" spans="1:7" x14ac:dyDescent="0.3">
      <c r="A28" s="11">
        <v>1027</v>
      </c>
      <c r="B28" s="10" t="s">
        <v>70</v>
      </c>
      <c r="C28" s="10" t="s">
        <v>29</v>
      </c>
      <c r="D28" s="10" t="s">
        <v>34</v>
      </c>
      <c r="E28" s="11">
        <v>22</v>
      </c>
      <c r="F28" s="11">
        <v>5</v>
      </c>
      <c r="G28" s="12">
        <v>45537</v>
      </c>
    </row>
    <row r="29" spans="1:7" x14ac:dyDescent="0.3">
      <c r="A29" s="11">
        <v>1028</v>
      </c>
      <c r="B29" s="10" t="s">
        <v>71</v>
      </c>
      <c r="C29" s="10" t="s">
        <v>32</v>
      </c>
      <c r="D29" s="10" t="s">
        <v>37</v>
      </c>
      <c r="E29" s="11">
        <v>27</v>
      </c>
      <c r="F29" s="11">
        <v>8</v>
      </c>
      <c r="G29" s="12">
        <v>45567</v>
      </c>
    </row>
    <row r="30" spans="1:7" x14ac:dyDescent="0.3">
      <c r="A30" s="11">
        <v>1029</v>
      </c>
      <c r="B30" s="10" t="s">
        <v>72</v>
      </c>
      <c r="C30" s="10" t="s">
        <v>23</v>
      </c>
      <c r="D30" s="10" t="s">
        <v>24</v>
      </c>
      <c r="E30" s="11">
        <v>13</v>
      </c>
      <c r="F30" s="11">
        <v>50</v>
      </c>
      <c r="G30" s="12">
        <v>45628</v>
      </c>
    </row>
    <row r="31" spans="1:7" x14ac:dyDescent="0.3">
      <c r="A31" s="11">
        <v>1030</v>
      </c>
      <c r="B31" s="10" t="s">
        <v>73</v>
      </c>
      <c r="C31" s="10" t="s">
        <v>26</v>
      </c>
      <c r="D31" s="10" t="s">
        <v>27</v>
      </c>
      <c r="E31" s="11">
        <v>32</v>
      </c>
      <c r="F31" s="11">
        <v>10</v>
      </c>
      <c r="G31" s="11" t="s">
        <v>74</v>
      </c>
    </row>
    <row r="32" spans="1:7" x14ac:dyDescent="0.3">
      <c r="A32" s="11">
        <v>1031</v>
      </c>
      <c r="B32" s="10" t="s">
        <v>75</v>
      </c>
      <c r="C32" s="10" t="s">
        <v>29</v>
      </c>
      <c r="D32" s="10" t="s">
        <v>30</v>
      </c>
      <c r="E32" s="11">
        <v>10</v>
      </c>
      <c r="F32" s="11">
        <v>25</v>
      </c>
      <c r="G32" s="11" t="s">
        <v>76</v>
      </c>
    </row>
    <row r="33" spans="1:7" x14ac:dyDescent="0.3">
      <c r="A33" s="11">
        <v>1032</v>
      </c>
      <c r="B33" s="10" t="s">
        <v>77</v>
      </c>
      <c r="C33" s="10" t="s">
        <v>32</v>
      </c>
      <c r="D33" s="10" t="s">
        <v>34</v>
      </c>
      <c r="E33" s="11">
        <v>18</v>
      </c>
      <c r="F33" s="11">
        <v>5</v>
      </c>
      <c r="G33" s="11" t="s">
        <v>78</v>
      </c>
    </row>
    <row r="34" spans="1:7" x14ac:dyDescent="0.3">
      <c r="A34" s="11">
        <v>1033</v>
      </c>
      <c r="B34" s="10" t="s">
        <v>79</v>
      </c>
      <c r="C34" s="10" t="s">
        <v>23</v>
      </c>
      <c r="D34" s="10" t="s">
        <v>37</v>
      </c>
      <c r="E34" s="11">
        <v>22</v>
      </c>
      <c r="F34" s="11">
        <v>8</v>
      </c>
      <c r="G34" s="11" t="s">
        <v>80</v>
      </c>
    </row>
    <row r="35" spans="1:7" x14ac:dyDescent="0.3">
      <c r="A35" s="11">
        <v>1034</v>
      </c>
      <c r="B35" s="10" t="s">
        <v>81</v>
      </c>
      <c r="C35" s="10" t="s">
        <v>26</v>
      </c>
      <c r="D35" s="10" t="s">
        <v>24</v>
      </c>
      <c r="E35" s="11">
        <v>17</v>
      </c>
      <c r="F35" s="11">
        <v>50</v>
      </c>
      <c r="G35" s="11" t="s">
        <v>82</v>
      </c>
    </row>
    <row r="36" spans="1:7" x14ac:dyDescent="0.3">
      <c r="A36" s="11">
        <v>1035</v>
      </c>
      <c r="B36" s="10" t="s">
        <v>83</v>
      </c>
      <c r="C36" s="10" t="s">
        <v>29</v>
      </c>
      <c r="D36" s="10" t="s">
        <v>27</v>
      </c>
      <c r="E36" s="11">
        <v>19</v>
      </c>
      <c r="F36" s="11">
        <v>10</v>
      </c>
      <c r="G36" s="11" t="s">
        <v>84</v>
      </c>
    </row>
    <row r="37" spans="1:7" x14ac:dyDescent="0.3">
      <c r="A37" s="11">
        <v>1036</v>
      </c>
      <c r="B37" s="10" t="s">
        <v>85</v>
      </c>
      <c r="C37" s="10" t="s">
        <v>32</v>
      </c>
      <c r="D37" s="10" t="s">
        <v>30</v>
      </c>
      <c r="E37" s="11">
        <v>15</v>
      </c>
      <c r="F37" s="11">
        <v>25</v>
      </c>
      <c r="G37" s="11" t="s">
        <v>86</v>
      </c>
    </row>
    <row r="38" spans="1:7" x14ac:dyDescent="0.3">
      <c r="A38" s="11">
        <v>1037</v>
      </c>
      <c r="B38" s="10" t="s">
        <v>87</v>
      </c>
      <c r="C38" s="10" t="s">
        <v>23</v>
      </c>
      <c r="D38" s="10" t="s">
        <v>34</v>
      </c>
      <c r="E38" s="11">
        <v>28</v>
      </c>
      <c r="F38" s="11">
        <v>5</v>
      </c>
      <c r="G38" s="11" t="s">
        <v>88</v>
      </c>
    </row>
    <row r="39" spans="1:7" x14ac:dyDescent="0.3">
      <c r="A39" s="11">
        <v>1038</v>
      </c>
      <c r="B39" s="10" t="s">
        <v>89</v>
      </c>
      <c r="C39" s="10" t="s">
        <v>26</v>
      </c>
      <c r="D39" s="10" t="s">
        <v>37</v>
      </c>
      <c r="E39" s="11">
        <v>24</v>
      </c>
      <c r="F39" s="11">
        <v>8</v>
      </c>
      <c r="G39" s="11" t="s">
        <v>90</v>
      </c>
    </row>
    <row r="40" spans="1:7" x14ac:dyDescent="0.3">
      <c r="A40" s="11">
        <v>1039</v>
      </c>
      <c r="B40" s="10" t="s">
        <v>91</v>
      </c>
      <c r="C40" s="10" t="s">
        <v>29</v>
      </c>
      <c r="D40" s="10" t="s">
        <v>24</v>
      </c>
      <c r="E40" s="11">
        <v>16</v>
      </c>
      <c r="F40" s="11">
        <v>50</v>
      </c>
      <c r="G40" s="11" t="s">
        <v>92</v>
      </c>
    </row>
    <row r="41" spans="1:7" x14ac:dyDescent="0.3">
      <c r="A41" s="11">
        <v>1040</v>
      </c>
      <c r="B41" s="10" t="s">
        <v>93</v>
      </c>
      <c r="C41" s="10" t="s">
        <v>32</v>
      </c>
      <c r="D41" s="10" t="s">
        <v>27</v>
      </c>
      <c r="E41" s="11">
        <v>27</v>
      </c>
      <c r="F41" s="11">
        <v>10</v>
      </c>
      <c r="G41" s="11" t="s">
        <v>94</v>
      </c>
    </row>
    <row r="42" spans="1:7" x14ac:dyDescent="0.3">
      <c r="A42" s="11">
        <v>1041</v>
      </c>
      <c r="B42" s="10" t="s">
        <v>95</v>
      </c>
      <c r="C42" s="10" t="s">
        <v>23</v>
      </c>
      <c r="D42" s="10" t="s">
        <v>30</v>
      </c>
      <c r="E42" s="11">
        <v>21</v>
      </c>
      <c r="F42" s="11">
        <v>25</v>
      </c>
      <c r="G42" s="11" t="s">
        <v>96</v>
      </c>
    </row>
    <row r="43" spans="1:7" x14ac:dyDescent="0.3">
      <c r="A43" s="11">
        <v>1042</v>
      </c>
      <c r="B43" s="10" t="s">
        <v>97</v>
      </c>
      <c r="C43" s="10" t="s">
        <v>26</v>
      </c>
      <c r="D43" s="10" t="s">
        <v>34</v>
      </c>
      <c r="E43" s="11">
        <v>30</v>
      </c>
      <c r="F43" s="11">
        <v>5</v>
      </c>
      <c r="G43" s="11" t="s">
        <v>98</v>
      </c>
    </row>
    <row r="44" spans="1:7" x14ac:dyDescent="0.3">
      <c r="A44" s="11">
        <v>1043</v>
      </c>
      <c r="B44" s="10" t="s">
        <v>99</v>
      </c>
      <c r="C44" s="10" t="s">
        <v>29</v>
      </c>
      <c r="D44" s="10" t="s">
        <v>37</v>
      </c>
      <c r="E44" s="11">
        <v>26</v>
      </c>
      <c r="F44" s="11">
        <v>8</v>
      </c>
      <c r="G44" s="12">
        <v>45294</v>
      </c>
    </row>
    <row r="45" spans="1:7" x14ac:dyDescent="0.3">
      <c r="A45" s="11">
        <v>1044</v>
      </c>
      <c r="B45" s="10" t="s">
        <v>100</v>
      </c>
      <c r="C45" s="10" t="s">
        <v>32</v>
      </c>
      <c r="D45" s="10" t="s">
        <v>24</v>
      </c>
      <c r="E45" s="11">
        <v>14</v>
      </c>
      <c r="F45" s="11">
        <v>50</v>
      </c>
      <c r="G45" s="12">
        <v>45325</v>
      </c>
    </row>
    <row r="46" spans="1:7" x14ac:dyDescent="0.3">
      <c r="A46" s="11">
        <v>1045</v>
      </c>
      <c r="B46" s="10" t="s">
        <v>101</v>
      </c>
      <c r="C46" s="10" t="s">
        <v>23</v>
      </c>
      <c r="D46" s="10" t="s">
        <v>27</v>
      </c>
      <c r="E46" s="11">
        <v>20</v>
      </c>
      <c r="F46" s="11">
        <v>10</v>
      </c>
      <c r="G46" s="12">
        <v>45354</v>
      </c>
    </row>
    <row r="47" spans="1:7" x14ac:dyDescent="0.3">
      <c r="A47" s="11">
        <v>1046</v>
      </c>
      <c r="B47" s="10" t="s">
        <v>102</v>
      </c>
      <c r="C47" s="10" t="s">
        <v>26</v>
      </c>
      <c r="D47" s="10" t="s">
        <v>30</v>
      </c>
      <c r="E47" s="11">
        <v>17</v>
      </c>
      <c r="F47" s="11">
        <v>25</v>
      </c>
      <c r="G47" s="12">
        <v>45385</v>
      </c>
    </row>
    <row r="48" spans="1:7" x14ac:dyDescent="0.3">
      <c r="A48" s="11">
        <v>1047</v>
      </c>
      <c r="B48" s="10" t="s">
        <v>103</v>
      </c>
      <c r="C48" s="10" t="s">
        <v>29</v>
      </c>
      <c r="D48" s="10" t="s">
        <v>34</v>
      </c>
      <c r="E48" s="11">
        <v>19</v>
      </c>
      <c r="F48" s="11">
        <v>5</v>
      </c>
      <c r="G48" s="12">
        <v>45415</v>
      </c>
    </row>
    <row r="49" spans="1:7" x14ac:dyDescent="0.3">
      <c r="A49" s="11">
        <v>1048</v>
      </c>
      <c r="B49" s="10" t="s">
        <v>104</v>
      </c>
      <c r="C49" s="10" t="s">
        <v>32</v>
      </c>
      <c r="D49" s="10" t="s">
        <v>37</v>
      </c>
      <c r="E49" s="11">
        <v>32</v>
      </c>
      <c r="F49" s="11">
        <v>8</v>
      </c>
      <c r="G49" s="12">
        <v>45446</v>
      </c>
    </row>
    <row r="50" spans="1:7" x14ac:dyDescent="0.3">
      <c r="A50" s="11">
        <v>1049</v>
      </c>
      <c r="B50" s="10" t="s">
        <v>105</v>
      </c>
      <c r="C50" s="10" t="s">
        <v>23</v>
      </c>
      <c r="D50" s="10" t="s">
        <v>24</v>
      </c>
      <c r="E50" s="11">
        <v>12</v>
      </c>
      <c r="F50" s="11">
        <v>50</v>
      </c>
      <c r="G50" s="12">
        <v>45476</v>
      </c>
    </row>
    <row r="51" spans="1:7" x14ac:dyDescent="0.3">
      <c r="A51" s="11">
        <v>1050</v>
      </c>
      <c r="B51" s="10" t="s">
        <v>106</v>
      </c>
      <c r="C51" s="10" t="s">
        <v>26</v>
      </c>
      <c r="D51" s="10" t="s">
        <v>27</v>
      </c>
      <c r="E51" s="11">
        <v>25</v>
      </c>
      <c r="F51" s="11">
        <v>10</v>
      </c>
      <c r="G51" s="12">
        <v>45507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6A55-D36F-4FAA-9D5A-231E840C6060}">
  <dimension ref="A1:N51"/>
  <sheetViews>
    <sheetView workbookViewId="0">
      <selection activeCell="J2" sqref="J2:N2"/>
    </sheetView>
  </sheetViews>
  <sheetFormatPr defaultRowHeight="14.4" x14ac:dyDescent="0.3"/>
  <cols>
    <col min="1" max="1" width="7.5546875" bestFit="1" customWidth="1"/>
    <col min="2" max="2" width="14.21875" bestFit="1" customWidth="1"/>
    <col min="6" max="6" width="8.6640625" bestFit="1" customWidth="1"/>
    <col min="7" max="7" width="10.33203125" bestFit="1" customWidth="1"/>
    <col min="9" max="9" width="12" bestFit="1" customWidth="1"/>
    <col min="10" max="10" width="9.5546875" customWidth="1"/>
    <col min="12" max="12" width="17.88671875" customWidth="1"/>
  </cols>
  <sheetData>
    <row r="1" spans="1:14" x14ac:dyDescent="0.3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I1" s="13" t="s">
        <v>109</v>
      </c>
    </row>
    <row r="2" spans="1:14" x14ac:dyDescent="0.3">
      <c r="A2" s="10">
        <v>1001</v>
      </c>
      <c r="B2" s="10" t="s">
        <v>22</v>
      </c>
      <c r="C2" s="10" t="s">
        <v>23</v>
      </c>
      <c r="D2" s="10" t="s">
        <v>24</v>
      </c>
      <c r="E2" s="11">
        <v>10</v>
      </c>
      <c r="F2" s="11">
        <v>50</v>
      </c>
      <c r="G2" s="12">
        <v>45413</v>
      </c>
      <c r="I2" s="8">
        <f>PRODUCT(E2,F2)</f>
        <v>500</v>
      </c>
      <c r="J2" s="23" t="s">
        <v>108</v>
      </c>
      <c r="K2" s="24"/>
      <c r="L2" s="24"/>
      <c r="M2" s="24"/>
      <c r="N2" s="24"/>
    </row>
    <row r="3" spans="1:14" x14ac:dyDescent="0.3">
      <c r="A3" s="11">
        <v>1002</v>
      </c>
      <c r="B3" s="10" t="s">
        <v>25</v>
      </c>
      <c r="C3" s="10" t="s">
        <v>26</v>
      </c>
      <c r="D3" s="10" t="s">
        <v>27</v>
      </c>
      <c r="E3" s="11">
        <v>20</v>
      </c>
      <c r="F3" s="11">
        <v>10</v>
      </c>
      <c r="G3" s="12">
        <v>45444</v>
      </c>
      <c r="I3" s="8">
        <f t="shared" ref="I3:I51" si="0">PRODUCT(E3,F3)</f>
        <v>200</v>
      </c>
    </row>
    <row r="4" spans="1:14" x14ac:dyDescent="0.3">
      <c r="A4" s="11">
        <v>1003</v>
      </c>
      <c r="B4" s="10" t="s">
        <v>28</v>
      </c>
      <c r="C4" s="10" t="s">
        <v>29</v>
      </c>
      <c r="D4" s="10" t="s">
        <v>30</v>
      </c>
      <c r="E4" s="11">
        <v>15</v>
      </c>
      <c r="F4" s="11">
        <v>25</v>
      </c>
      <c r="G4" s="12">
        <v>45474</v>
      </c>
      <c r="I4" s="8">
        <f t="shared" si="0"/>
        <v>375</v>
      </c>
    </row>
    <row r="5" spans="1:14" x14ac:dyDescent="0.3">
      <c r="A5" s="11">
        <v>1004</v>
      </c>
      <c r="B5" s="10" t="s">
        <v>31</v>
      </c>
      <c r="C5" s="10" t="s">
        <v>32</v>
      </c>
      <c r="D5" s="10" t="s">
        <v>24</v>
      </c>
      <c r="E5" s="11">
        <v>5</v>
      </c>
      <c r="F5" s="11">
        <v>50</v>
      </c>
      <c r="G5" s="12">
        <v>45505</v>
      </c>
      <c r="I5" s="8">
        <f t="shared" si="0"/>
        <v>250</v>
      </c>
    </row>
    <row r="6" spans="1:14" x14ac:dyDescent="0.3">
      <c r="A6" s="11">
        <v>1005</v>
      </c>
      <c r="B6" s="10" t="s">
        <v>33</v>
      </c>
      <c r="C6" s="10" t="s">
        <v>23</v>
      </c>
      <c r="D6" s="10" t="s">
        <v>34</v>
      </c>
      <c r="E6" s="11">
        <v>30</v>
      </c>
      <c r="F6" s="11">
        <v>5</v>
      </c>
      <c r="G6" s="12">
        <v>45566</v>
      </c>
      <c r="I6" s="8">
        <f t="shared" si="0"/>
        <v>150</v>
      </c>
    </row>
    <row r="7" spans="1:14" x14ac:dyDescent="0.3">
      <c r="A7" s="11">
        <v>1006</v>
      </c>
      <c r="B7" s="10" t="s">
        <v>35</v>
      </c>
      <c r="C7" s="10" t="s">
        <v>26</v>
      </c>
      <c r="D7" s="10" t="s">
        <v>24</v>
      </c>
      <c r="E7" s="11">
        <v>12</v>
      </c>
      <c r="F7" s="11">
        <v>50</v>
      </c>
      <c r="G7" s="12">
        <v>45597</v>
      </c>
      <c r="I7" s="8">
        <f t="shared" si="0"/>
        <v>600</v>
      </c>
    </row>
    <row r="8" spans="1:14" x14ac:dyDescent="0.3">
      <c r="A8" s="11">
        <v>1007</v>
      </c>
      <c r="B8" s="10" t="s">
        <v>36</v>
      </c>
      <c r="C8" s="10" t="s">
        <v>29</v>
      </c>
      <c r="D8" s="10" t="s">
        <v>37</v>
      </c>
      <c r="E8" s="11">
        <v>25</v>
      </c>
      <c r="F8" s="11">
        <v>8</v>
      </c>
      <c r="G8" s="11" t="s">
        <v>38</v>
      </c>
      <c r="I8" s="8">
        <f t="shared" si="0"/>
        <v>200</v>
      </c>
    </row>
    <row r="9" spans="1:14" x14ac:dyDescent="0.3">
      <c r="A9" s="11">
        <v>1008</v>
      </c>
      <c r="B9" s="10" t="s">
        <v>39</v>
      </c>
      <c r="C9" s="10" t="s">
        <v>32</v>
      </c>
      <c r="D9" s="10" t="s">
        <v>27</v>
      </c>
      <c r="E9" s="11">
        <v>18</v>
      </c>
      <c r="F9" s="11">
        <v>10</v>
      </c>
      <c r="G9" s="11" t="s">
        <v>40</v>
      </c>
      <c r="I9" s="8">
        <f t="shared" si="0"/>
        <v>180</v>
      </c>
    </row>
    <row r="10" spans="1:14" x14ac:dyDescent="0.3">
      <c r="A10" s="11">
        <v>1009</v>
      </c>
      <c r="B10" s="10" t="s">
        <v>41</v>
      </c>
      <c r="C10" s="10" t="s">
        <v>23</v>
      </c>
      <c r="D10" s="10" t="s">
        <v>30</v>
      </c>
      <c r="E10" s="11">
        <v>22</v>
      </c>
      <c r="F10" s="11">
        <v>25</v>
      </c>
      <c r="G10" s="11" t="s">
        <v>42</v>
      </c>
      <c r="I10" s="8">
        <f t="shared" si="0"/>
        <v>550</v>
      </c>
    </row>
    <row r="11" spans="1:14" x14ac:dyDescent="0.3">
      <c r="A11" s="11">
        <v>1010</v>
      </c>
      <c r="B11" s="10" t="s">
        <v>43</v>
      </c>
      <c r="C11" s="10" t="s">
        <v>26</v>
      </c>
      <c r="D11" s="10" t="s">
        <v>24</v>
      </c>
      <c r="E11" s="11">
        <v>8</v>
      </c>
      <c r="F11" s="11">
        <v>50</v>
      </c>
      <c r="G11" s="11" t="s">
        <v>44</v>
      </c>
      <c r="I11" s="8">
        <f t="shared" si="0"/>
        <v>400</v>
      </c>
    </row>
    <row r="12" spans="1:14" x14ac:dyDescent="0.3">
      <c r="A12" s="11">
        <v>1011</v>
      </c>
      <c r="B12" s="10" t="s">
        <v>45</v>
      </c>
      <c r="C12" s="10" t="s">
        <v>29</v>
      </c>
      <c r="D12" s="10" t="s">
        <v>34</v>
      </c>
      <c r="E12" s="11">
        <v>40</v>
      </c>
      <c r="F12" s="11">
        <v>5</v>
      </c>
      <c r="G12" s="11" t="s">
        <v>46</v>
      </c>
      <c r="I12" s="8">
        <f t="shared" si="0"/>
        <v>200</v>
      </c>
    </row>
    <row r="13" spans="1:14" x14ac:dyDescent="0.3">
      <c r="A13" s="11">
        <v>1012</v>
      </c>
      <c r="B13" s="10" t="s">
        <v>47</v>
      </c>
      <c r="C13" s="10" t="s">
        <v>32</v>
      </c>
      <c r="D13" s="10" t="s">
        <v>37</v>
      </c>
      <c r="E13" s="11">
        <v>35</v>
      </c>
      <c r="F13" s="11">
        <v>8</v>
      </c>
      <c r="G13" s="11" t="s">
        <v>48</v>
      </c>
      <c r="I13" s="8">
        <f t="shared" si="0"/>
        <v>280</v>
      </c>
    </row>
    <row r="14" spans="1:14" x14ac:dyDescent="0.3">
      <c r="A14" s="11">
        <v>1013</v>
      </c>
      <c r="B14" s="10" t="s">
        <v>49</v>
      </c>
      <c r="C14" s="10" t="s">
        <v>23</v>
      </c>
      <c r="D14" s="10" t="s">
        <v>24</v>
      </c>
      <c r="E14" s="11">
        <v>14</v>
      </c>
      <c r="F14" s="11">
        <v>50</v>
      </c>
      <c r="G14" s="11" t="s">
        <v>50</v>
      </c>
      <c r="I14" s="8">
        <f t="shared" si="0"/>
        <v>700</v>
      </c>
    </row>
    <row r="15" spans="1:14" x14ac:dyDescent="0.3">
      <c r="A15" s="11">
        <v>1014</v>
      </c>
      <c r="B15" s="10" t="s">
        <v>51</v>
      </c>
      <c r="C15" s="10" t="s">
        <v>26</v>
      </c>
      <c r="D15" s="10" t="s">
        <v>27</v>
      </c>
      <c r="E15" s="11">
        <v>28</v>
      </c>
      <c r="F15" s="11">
        <v>10</v>
      </c>
      <c r="G15" s="11" t="s">
        <v>52</v>
      </c>
      <c r="I15" s="8">
        <f t="shared" si="0"/>
        <v>280</v>
      </c>
    </row>
    <row r="16" spans="1:14" x14ac:dyDescent="0.3">
      <c r="A16" s="11">
        <v>1015</v>
      </c>
      <c r="B16" s="10" t="s">
        <v>53</v>
      </c>
      <c r="C16" s="10" t="s">
        <v>29</v>
      </c>
      <c r="D16" s="10" t="s">
        <v>30</v>
      </c>
      <c r="E16" s="11">
        <v>12</v>
      </c>
      <c r="F16" s="11">
        <v>25</v>
      </c>
      <c r="G16" s="11" t="s">
        <v>54</v>
      </c>
      <c r="I16" s="8">
        <f t="shared" si="0"/>
        <v>300</v>
      </c>
    </row>
    <row r="17" spans="1:9" x14ac:dyDescent="0.3">
      <c r="A17" s="11">
        <v>1016</v>
      </c>
      <c r="B17" s="10" t="s">
        <v>55</v>
      </c>
      <c r="C17" s="10" t="s">
        <v>32</v>
      </c>
      <c r="D17" s="10" t="s">
        <v>34</v>
      </c>
      <c r="E17" s="11">
        <v>25</v>
      </c>
      <c r="F17" s="11">
        <v>5</v>
      </c>
      <c r="G17" s="11" t="s">
        <v>56</v>
      </c>
      <c r="I17" s="8">
        <f t="shared" si="0"/>
        <v>125</v>
      </c>
    </row>
    <row r="18" spans="1:9" x14ac:dyDescent="0.3">
      <c r="A18" s="11">
        <v>1017</v>
      </c>
      <c r="B18" s="10" t="s">
        <v>57</v>
      </c>
      <c r="C18" s="10" t="s">
        <v>23</v>
      </c>
      <c r="D18" s="10" t="s">
        <v>37</v>
      </c>
      <c r="E18" s="11">
        <v>20</v>
      </c>
      <c r="F18" s="11">
        <v>8</v>
      </c>
      <c r="G18" s="11" t="s">
        <v>58</v>
      </c>
      <c r="I18" s="8">
        <f t="shared" si="0"/>
        <v>160</v>
      </c>
    </row>
    <row r="19" spans="1:9" x14ac:dyDescent="0.3">
      <c r="A19" s="11">
        <v>1018</v>
      </c>
      <c r="B19" s="10" t="s">
        <v>59</v>
      </c>
      <c r="C19" s="10" t="s">
        <v>26</v>
      </c>
      <c r="D19" s="10" t="s">
        <v>24</v>
      </c>
      <c r="E19" s="11">
        <v>10</v>
      </c>
      <c r="F19" s="11">
        <v>50</v>
      </c>
      <c r="G19" s="11" t="s">
        <v>60</v>
      </c>
      <c r="I19" s="8">
        <f t="shared" si="0"/>
        <v>500</v>
      </c>
    </row>
    <row r="20" spans="1:9" x14ac:dyDescent="0.3">
      <c r="A20" s="11">
        <v>1019</v>
      </c>
      <c r="B20" s="10" t="s">
        <v>61</v>
      </c>
      <c r="C20" s="10" t="s">
        <v>29</v>
      </c>
      <c r="D20" s="10" t="s">
        <v>27</v>
      </c>
      <c r="E20" s="11">
        <v>15</v>
      </c>
      <c r="F20" s="11">
        <v>10</v>
      </c>
      <c r="G20" s="11" t="s">
        <v>62</v>
      </c>
      <c r="I20" s="8">
        <f t="shared" si="0"/>
        <v>150</v>
      </c>
    </row>
    <row r="21" spans="1:9" x14ac:dyDescent="0.3">
      <c r="A21" s="11">
        <v>1020</v>
      </c>
      <c r="B21" s="10" t="s">
        <v>63</v>
      </c>
      <c r="C21" s="10" t="s">
        <v>32</v>
      </c>
      <c r="D21" s="10" t="s">
        <v>30</v>
      </c>
      <c r="E21" s="11">
        <v>18</v>
      </c>
      <c r="F21" s="11">
        <v>25</v>
      </c>
      <c r="G21" s="12">
        <v>45293</v>
      </c>
      <c r="I21" s="8">
        <f t="shared" si="0"/>
        <v>450</v>
      </c>
    </row>
    <row r="22" spans="1:9" x14ac:dyDescent="0.3">
      <c r="A22" s="11">
        <v>1021</v>
      </c>
      <c r="B22" s="10" t="s">
        <v>64</v>
      </c>
      <c r="C22" s="10" t="s">
        <v>23</v>
      </c>
      <c r="D22" s="10" t="s">
        <v>24</v>
      </c>
      <c r="E22" s="11">
        <v>9</v>
      </c>
      <c r="F22" s="11">
        <v>50</v>
      </c>
      <c r="G22" s="12">
        <v>45324</v>
      </c>
      <c r="I22" s="8">
        <f t="shared" si="0"/>
        <v>450</v>
      </c>
    </row>
    <row r="23" spans="1:9" x14ac:dyDescent="0.3">
      <c r="A23" s="11">
        <v>1022</v>
      </c>
      <c r="B23" s="10" t="s">
        <v>65</v>
      </c>
      <c r="C23" s="10" t="s">
        <v>26</v>
      </c>
      <c r="D23" s="10" t="s">
        <v>34</v>
      </c>
      <c r="E23" s="11">
        <v>35</v>
      </c>
      <c r="F23" s="11">
        <v>5</v>
      </c>
      <c r="G23" s="12">
        <v>45353</v>
      </c>
      <c r="I23" s="8">
        <f t="shared" si="0"/>
        <v>175</v>
      </c>
    </row>
    <row r="24" spans="1:9" x14ac:dyDescent="0.3">
      <c r="A24" s="11">
        <v>1023</v>
      </c>
      <c r="B24" s="10" t="s">
        <v>66</v>
      </c>
      <c r="C24" s="10" t="s">
        <v>29</v>
      </c>
      <c r="D24" s="10" t="s">
        <v>37</v>
      </c>
      <c r="E24" s="11">
        <v>30</v>
      </c>
      <c r="F24" s="11">
        <v>8</v>
      </c>
      <c r="G24" s="12">
        <v>45384</v>
      </c>
      <c r="I24" s="8">
        <f t="shared" si="0"/>
        <v>240</v>
      </c>
    </row>
    <row r="25" spans="1:9" x14ac:dyDescent="0.3">
      <c r="A25" s="11">
        <v>1024</v>
      </c>
      <c r="B25" s="10" t="s">
        <v>67</v>
      </c>
      <c r="C25" s="10" t="s">
        <v>32</v>
      </c>
      <c r="D25" s="10" t="s">
        <v>24</v>
      </c>
      <c r="E25" s="11">
        <v>11</v>
      </c>
      <c r="F25" s="11">
        <v>50</v>
      </c>
      <c r="G25" s="12">
        <v>45445</v>
      </c>
      <c r="I25" s="8">
        <f t="shared" si="0"/>
        <v>550</v>
      </c>
    </row>
    <row r="26" spans="1:9" x14ac:dyDescent="0.3">
      <c r="A26" s="11">
        <v>1025</v>
      </c>
      <c r="B26" s="10" t="s">
        <v>68</v>
      </c>
      <c r="C26" s="10" t="s">
        <v>23</v>
      </c>
      <c r="D26" s="10" t="s">
        <v>27</v>
      </c>
      <c r="E26" s="11">
        <v>14</v>
      </c>
      <c r="F26" s="11">
        <v>10</v>
      </c>
      <c r="G26" s="12">
        <v>45475</v>
      </c>
      <c r="I26" s="8">
        <f t="shared" si="0"/>
        <v>140</v>
      </c>
    </row>
    <row r="27" spans="1:9" x14ac:dyDescent="0.3">
      <c r="A27" s="11">
        <v>1026</v>
      </c>
      <c r="B27" s="10" t="s">
        <v>69</v>
      </c>
      <c r="C27" s="10" t="s">
        <v>26</v>
      </c>
      <c r="D27" s="10" t="s">
        <v>30</v>
      </c>
      <c r="E27" s="11">
        <v>16</v>
      </c>
      <c r="F27" s="11">
        <v>25</v>
      </c>
      <c r="G27" s="12">
        <v>45506</v>
      </c>
      <c r="I27" s="8">
        <f t="shared" si="0"/>
        <v>400</v>
      </c>
    </row>
    <row r="28" spans="1:9" x14ac:dyDescent="0.3">
      <c r="A28" s="11">
        <v>1027</v>
      </c>
      <c r="B28" s="10" t="s">
        <v>70</v>
      </c>
      <c r="C28" s="10" t="s">
        <v>29</v>
      </c>
      <c r="D28" s="10" t="s">
        <v>34</v>
      </c>
      <c r="E28" s="11">
        <v>22</v>
      </c>
      <c r="F28" s="11">
        <v>5</v>
      </c>
      <c r="G28" s="12">
        <v>45537</v>
      </c>
      <c r="I28" s="8">
        <f t="shared" si="0"/>
        <v>110</v>
      </c>
    </row>
    <row r="29" spans="1:9" x14ac:dyDescent="0.3">
      <c r="A29" s="11">
        <v>1028</v>
      </c>
      <c r="B29" s="10" t="s">
        <v>71</v>
      </c>
      <c r="C29" s="10" t="s">
        <v>32</v>
      </c>
      <c r="D29" s="10" t="s">
        <v>37</v>
      </c>
      <c r="E29" s="11">
        <v>27</v>
      </c>
      <c r="F29" s="11">
        <v>8</v>
      </c>
      <c r="G29" s="12">
        <v>45567</v>
      </c>
      <c r="I29" s="8">
        <f t="shared" si="0"/>
        <v>216</v>
      </c>
    </row>
    <row r="30" spans="1:9" x14ac:dyDescent="0.3">
      <c r="A30" s="11">
        <v>1029</v>
      </c>
      <c r="B30" s="10" t="s">
        <v>72</v>
      </c>
      <c r="C30" s="10" t="s">
        <v>23</v>
      </c>
      <c r="D30" s="10" t="s">
        <v>24</v>
      </c>
      <c r="E30" s="11">
        <v>13</v>
      </c>
      <c r="F30" s="11">
        <v>50</v>
      </c>
      <c r="G30" s="12">
        <v>45628</v>
      </c>
      <c r="I30" s="8">
        <f t="shared" si="0"/>
        <v>650</v>
      </c>
    </row>
    <row r="31" spans="1:9" x14ac:dyDescent="0.3">
      <c r="A31" s="11">
        <v>1030</v>
      </c>
      <c r="B31" s="10" t="s">
        <v>73</v>
      </c>
      <c r="C31" s="10" t="s">
        <v>26</v>
      </c>
      <c r="D31" s="10" t="s">
        <v>27</v>
      </c>
      <c r="E31" s="11">
        <v>32</v>
      </c>
      <c r="F31" s="11">
        <v>10</v>
      </c>
      <c r="G31" s="11" t="s">
        <v>74</v>
      </c>
      <c r="I31" s="8">
        <f t="shared" si="0"/>
        <v>320</v>
      </c>
    </row>
    <row r="32" spans="1:9" x14ac:dyDescent="0.3">
      <c r="A32" s="11">
        <v>1031</v>
      </c>
      <c r="B32" s="10" t="s">
        <v>75</v>
      </c>
      <c r="C32" s="10" t="s">
        <v>29</v>
      </c>
      <c r="D32" s="10" t="s">
        <v>30</v>
      </c>
      <c r="E32" s="11">
        <v>10</v>
      </c>
      <c r="F32" s="11">
        <v>25</v>
      </c>
      <c r="G32" s="11" t="s">
        <v>76</v>
      </c>
      <c r="I32" s="8">
        <f t="shared" si="0"/>
        <v>250</v>
      </c>
    </row>
    <row r="33" spans="1:9" x14ac:dyDescent="0.3">
      <c r="A33" s="11">
        <v>1032</v>
      </c>
      <c r="B33" s="10" t="s">
        <v>77</v>
      </c>
      <c r="C33" s="10" t="s">
        <v>32</v>
      </c>
      <c r="D33" s="10" t="s">
        <v>34</v>
      </c>
      <c r="E33" s="11">
        <v>18</v>
      </c>
      <c r="F33" s="11">
        <v>5</v>
      </c>
      <c r="G33" s="11" t="s">
        <v>78</v>
      </c>
      <c r="I33" s="8">
        <f t="shared" si="0"/>
        <v>90</v>
      </c>
    </row>
    <row r="34" spans="1:9" x14ac:dyDescent="0.3">
      <c r="A34" s="11">
        <v>1033</v>
      </c>
      <c r="B34" s="10" t="s">
        <v>79</v>
      </c>
      <c r="C34" s="10" t="s">
        <v>23</v>
      </c>
      <c r="D34" s="10" t="s">
        <v>37</v>
      </c>
      <c r="E34" s="11">
        <v>22</v>
      </c>
      <c r="F34" s="11">
        <v>8</v>
      </c>
      <c r="G34" s="11" t="s">
        <v>80</v>
      </c>
      <c r="I34" s="8">
        <f t="shared" si="0"/>
        <v>176</v>
      </c>
    </row>
    <row r="35" spans="1:9" x14ac:dyDescent="0.3">
      <c r="A35" s="11">
        <v>1034</v>
      </c>
      <c r="B35" s="10" t="s">
        <v>81</v>
      </c>
      <c r="C35" s="10" t="s">
        <v>26</v>
      </c>
      <c r="D35" s="10" t="s">
        <v>24</v>
      </c>
      <c r="E35" s="11">
        <v>17</v>
      </c>
      <c r="F35" s="11">
        <v>50</v>
      </c>
      <c r="G35" s="11" t="s">
        <v>82</v>
      </c>
      <c r="I35" s="8">
        <f t="shared" si="0"/>
        <v>850</v>
      </c>
    </row>
    <row r="36" spans="1:9" x14ac:dyDescent="0.3">
      <c r="A36" s="11">
        <v>1035</v>
      </c>
      <c r="B36" s="10" t="s">
        <v>83</v>
      </c>
      <c r="C36" s="10" t="s">
        <v>29</v>
      </c>
      <c r="D36" s="10" t="s">
        <v>27</v>
      </c>
      <c r="E36" s="11">
        <v>19</v>
      </c>
      <c r="F36" s="11">
        <v>10</v>
      </c>
      <c r="G36" s="11" t="s">
        <v>84</v>
      </c>
      <c r="I36" s="8">
        <f t="shared" si="0"/>
        <v>190</v>
      </c>
    </row>
    <row r="37" spans="1:9" x14ac:dyDescent="0.3">
      <c r="A37" s="11">
        <v>1036</v>
      </c>
      <c r="B37" s="10" t="s">
        <v>85</v>
      </c>
      <c r="C37" s="10" t="s">
        <v>32</v>
      </c>
      <c r="D37" s="10" t="s">
        <v>30</v>
      </c>
      <c r="E37" s="11">
        <v>15</v>
      </c>
      <c r="F37" s="11">
        <v>25</v>
      </c>
      <c r="G37" s="11" t="s">
        <v>86</v>
      </c>
      <c r="I37" s="8">
        <f t="shared" si="0"/>
        <v>375</v>
      </c>
    </row>
    <row r="38" spans="1:9" x14ac:dyDescent="0.3">
      <c r="A38" s="11">
        <v>1037</v>
      </c>
      <c r="B38" s="10" t="s">
        <v>87</v>
      </c>
      <c r="C38" s="10" t="s">
        <v>23</v>
      </c>
      <c r="D38" s="10" t="s">
        <v>34</v>
      </c>
      <c r="E38" s="11">
        <v>28</v>
      </c>
      <c r="F38" s="11">
        <v>5</v>
      </c>
      <c r="G38" s="11" t="s">
        <v>88</v>
      </c>
      <c r="I38" s="8">
        <f t="shared" si="0"/>
        <v>140</v>
      </c>
    </row>
    <row r="39" spans="1:9" x14ac:dyDescent="0.3">
      <c r="A39" s="11">
        <v>1038</v>
      </c>
      <c r="B39" s="10" t="s">
        <v>89</v>
      </c>
      <c r="C39" s="10" t="s">
        <v>26</v>
      </c>
      <c r="D39" s="10" t="s">
        <v>37</v>
      </c>
      <c r="E39" s="11">
        <v>24</v>
      </c>
      <c r="F39" s="11">
        <v>8</v>
      </c>
      <c r="G39" s="11" t="s">
        <v>90</v>
      </c>
      <c r="I39" s="8">
        <f t="shared" si="0"/>
        <v>192</v>
      </c>
    </row>
    <row r="40" spans="1:9" x14ac:dyDescent="0.3">
      <c r="A40" s="11">
        <v>1039</v>
      </c>
      <c r="B40" s="10" t="s">
        <v>91</v>
      </c>
      <c r="C40" s="10" t="s">
        <v>29</v>
      </c>
      <c r="D40" s="10" t="s">
        <v>24</v>
      </c>
      <c r="E40" s="11">
        <v>16</v>
      </c>
      <c r="F40" s="11">
        <v>50</v>
      </c>
      <c r="G40" s="11" t="s">
        <v>92</v>
      </c>
      <c r="I40" s="8">
        <f t="shared" si="0"/>
        <v>800</v>
      </c>
    </row>
    <row r="41" spans="1:9" x14ac:dyDescent="0.3">
      <c r="A41" s="11">
        <v>1040</v>
      </c>
      <c r="B41" s="10" t="s">
        <v>93</v>
      </c>
      <c r="C41" s="10" t="s">
        <v>32</v>
      </c>
      <c r="D41" s="10" t="s">
        <v>27</v>
      </c>
      <c r="E41" s="11">
        <v>27</v>
      </c>
      <c r="F41" s="11">
        <v>10</v>
      </c>
      <c r="G41" s="11" t="s">
        <v>94</v>
      </c>
      <c r="I41" s="8">
        <f t="shared" si="0"/>
        <v>270</v>
      </c>
    </row>
    <row r="42" spans="1:9" x14ac:dyDescent="0.3">
      <c r="A42" s="11">
        <v>1041</v>
      </c>
      <c r="B42" s="10" t="s">
        <v>95</v>
      </c>
      <c r="C42" s="10" t="s">
        <v>23</v>
      </c>
      <c r="D42" s="10" t="s">
        <v>30</v>
      </c>
      <c r="E42" s="11">
        <v>21</v>
      </c>
      <c r="F42" s="11">
        <v>25</v>
      </c>
      <c r="G42" s="11" t="s">
        <v>96</v>
      </c>
      <c r="I42" s="8">
        <f t="shared" si="0"/>
        <v>525</v>
      </c>
    </row>
    <row r="43" spans="1:9" x14ac:dyDescent="0.3">
      <c r="A43" s="11">
        <v>1042</v>
      </c>
      <c r="B43" s="10" t="s">
        <v>97</v>
      </c>
      <c r="C43" s="10" t="s">
        <v>26</v>
      </c>
      <c r="D43" s="10" t="s">
        <v>34</v>
      </c>
      <c r="E43" s="11">
        <v>30</v>
      </c>
      <c r="F43" s="11">
        <v>5</v>
      </c>
      <c r="G43" s="11" t="s">
        <v>98</v>
      </c>
      <c r="I43" s="8">
        <f t="shared" si="0"/>
        <v>150</v>
      </c>
    </row>
    <row r="44" spans="1:9" x14ac:dyDescent="0.3">
      <c r="A44" s="11">
        <v>1043</v>
      </c>
      <c r="B44" s="10" t="s">
        <v>99</v>
      </c>
      <c r="C44" s="10" t="s">
        <v>29</v>
      </c>
      <c r="D44" s="10" t="s">
        <v>37</v>
      </c>
      <c r="E44" s="11">
        <v>26</v>
      </c>
      <c r="F44" s="11">
        <v>8</v>
      </c>
      <c r="G44" s="12">
        <v>45294</v>
      </c>
      <c r="I44" s="8">
        <f t="shared" si="0"/>
        <v>208</v>
      </c>
    </row>
    <row r="45" spans="1:9" x14ac:dyDescent="0.3">
      <c r="A45" s="11">
        <v>1044</v>
      </c>
      <c r="B45" s="10" t="s">
        <v>100</v>
      </c>
      <c r="C45" s="10" t="s">
        <v>32</v>
      </c>
      <c r="D45" s="10" t="s">
        <v>24</v>
      </c>
      <c r="E45" s="11">
        <v>14</v>
      </c>
      <c r="F45" s="11">
        <v>50</v>
      </c>
      <c r="G45" s="12">
        <v>45325</v>
      </c>
      <c r="I45" s="8">
        <f t="shared" si="0"/>
        <v>700</v>
      </c>
    </row>
    <row r="46" spans="1:9" x14ac:dyDescent="0.3">
      <c r="A46" s="11">
        <v>1045</v>
      </c>
      <c r="B46" s="10" t="s">
        <v>101</v>
      </c>
      <c r="C46" s="10" t="s">
        <v>23</v>
      </c>
      <c r="D46" s="10" t="s">
        <v>27</v>
      </c>
      <c r="E46" s="11">
        <v>20</v>
      </c>
      <c r="F46" s="11">
        <v>10</v>
      </c>
      <c r="G46" s="12">
        <v>45354</v>
      </c>
      <c r="I46" s="8">
        <f t="shared" si="0"/>
        <v>200</v>
      </c>
    </row>
    <row r="47" spans="1:9" x14ac:dyDescent="0.3">
      <c r="A47" s="11">
        <v>1046</v>
      </c>
      <c r="B47" s="10" t="s">
        <v>102</v>
      </c>
      <c r="C47" s="10" t="s">
        <v>26</v>
      </c>
      <c r="D47" s="10" t="s">
        <v>30</v>
      </c>
      <c r="E47" s="11">
        <v>17</v>
      </c>
      <c r="F47" s="11">
        <v>25</v>
      </c>
      <c r="G47" s="12">
        <v>45385</v>
      </c>
      <c r="I47" s="8">
        <f t="shared" si="0"/>
        <v>425</v>
      </c>
    </row>
    <row r="48" spans="1:9" x14ac:dyDescent="0.3">
      <c r="A48" s="11">
        <v>1047</v>
      </c>
      <c r="B48" s="10" t="s">
        <v>103</v>
      </c>
      <c r="C48" s="10" t="s">
        <v>29</v>
      </c>
      <c r="D48" s="10" t="s">
        <v>34</v>
      </c>
      <c r="E48" s="11">
        <v>19</v>
      </c>
      <c r="F48" s="11">
        <v>5</v>
      </c>
      <c r="G48" s="12">
        <v>45415</v>
      </c>
      <c r="I48" s="8">
        <f t="shared" si="0"/>
        <v>95</v>
      </c>
    </row>
    <row r="49" spans="1:9" x14ac:dyDescent="0.3">
      <c r="A49" s="11">
        <v>1048</v>
      </c>
      <c r="B49" s="10" t="s">
        <v>104</v>
      </c>
      <c r="C49" s="10" t="s">
        <v>32</v>
      </c>
      <c r="D49" s="10" t="s">
        <v>37</v>
      </c>
      <c r="E49" s="11">
        <v>32</v>
      </c>
      <c r="F49" s="11">
        <v>8</v>
      </c>
      <c r="G49" s="12">
        <v>45446</v>
      </c>
      <c r="I49" s="8">
        <f t="shared" si="0"/>
        <v>256</v>
      </c>
    </row>
    <row r="50" spans="1:9" x14ac:dyDescent="0.3">
      <c r="A50" s="11">
        <v>1049</v>
      </c>
      <c r="B50" s="10" t="s">
        <v>105</v>
      </c>
      <c r="C50" s="10" t="s">
        <v>23</v>
      </c>
      <c r="D50" s="10" t="s">
        <v>24</v>
      </c>
      <c r="E50" s="11">
        <v>12</v>
      </c>
      <c r="F50" s="11">
        <v>50</v>
      </c>
      <c r="G50" s="12">
        <v>45476</v>
      </c>
      <c r="I50" s="8">
        <f t="shared" si="0"/>
        <v>600</v>
      </c>
    </row>
    <row r="51" spans="1:9" x14ac:dyDescent="0.3">
      <c r="A51" s="11">
        <v>1050</v>
      </c>
      <c r="B51" s="10" t="s">
        <v>106</v>
      </c>
      <c r="C51" s="10" t="s">
        <v>26</v>
      </c>
      <c r="D51" s="10" t="s">
        <v>27</v>
      </c>
      <c r="E51" s="11">
        <v>25</v>
      </c>
      <c r="F51" s="11">
        <v>10</v>
      </c>
      <c r="G51" s="12">
        <v>45507</v>
      </c>
      <c r="I51" s="8">
        <f t="shared" si="0"/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7600-C4C9-4F3A-A302-F1A7A0557EDF}">
  <dimension ref="A1:P52"/>
  <sheetViews>
    <sheetView workbookViewId="0">
      <selection activeCell="J2" sqref="J2:P2"/>
    </sheetView>
  </sheetViews>
  <sheetFormatPr defaultRowHeight="14.4" x14ac:dyDescent="0.3"/>
  <cols>
    <col min="1" max="1" width="7.5546875" bestFit="1" customWidth="1"/>
    <col min="2" max="2" width="14.21875" bestFit="1" customWidth="1"/>
    <col min="3" max="3" width="6.77734375" bestFit="1" customWidth="1"/>
    <col min="5" max="5" width="8.33203125" bestFit="1" customWidth="1"/>
    <col min="6" max="6" width="8.6640625" bestFit="1" customWidth="1"/>
    <col min="7" max="7" width="10.33203125" bestFit="1" customWidth="1"/>
    <col min="8" max="8" width="12" bestFit="1" customWidth="1"/>
  </cols>
  <sheetData>
    <row r="1" spans="1:16" x14ac:dyDescent="0.3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13" t="s">
        <v>109</v>
      </c>
    </row>
    <row r="2" spans="1:16" x14ac:dyDescent="0.3">
      <c r="A2" s="10">
        <v>1001</v>
      </c>
      <c r="B2" s="10" t="s">
        <v>22</v>
      </c>
      <c r="C2" s="10" t="s">
        <v>23</v>
      </c>
      <c r="D2" s="10" t="s">
        <v>24</v>
      </c>
      <c r="E2" s="11">
        <v>10</v>
      </c>
      <c r="F2" s="11">
        <v>50</v>
      </c>
      <c r="G2" s="12">
        <v>45413</v>
      </c>
      <c r="H2" s="8">
        <f>PRODUCT(E2,F2)</f>
        <v>500</v>
      </c>
      <c r="J2" s="23" t="s">
        <v>110</v>
      </c>
      <c r="K2" s="24"/>
      <c r="L2" s="24"/>
      <c r="M2" s="24"/>
      <c r="N2" s="24"/>
      <c r="O2" s="24"/>
      <c r="P2" s="24"/>
    </row>
    <row r="3" spans="1:16" x14ac:dyDescent="0.3">
      <c r="A3" s="11">
        <v>1002</v>
      </c>
      <c r="B3" s="10" t="s">
        <v>25</v>
      </c>
      <c r="C3" s="10" t="s">
        <v>26</v>
      </c>
      <c r="D3" s="10" t="s">
        <v>27</v>
      </c>
      <c r="E3" s="11">
        <v>20</v>
      </c>
      <c r="F3" s="11">
        <v>10</v>
      </c>
      <c r="G3" s="12">
        <v>45444</v>
      </c>
      <c r="H3" s="8">
        <f t="shared" ref="H3:H51" si="0">PRODUCT(E3,F3)</f>
        <v>200</v>
      </c>
    </row>
    <row r="4" spans="1:16" x14ac:dyDescent="0.3">
      <c r="A4" s="11">
        <v>1003</v>
      </c>
      <c r="B4" s="10" t="s">
        <v>28</v>
      </c>
      <c r="C4" s="10" t="s">
        <v>29</v>
      </c>
      <c r="D4" s="10" t="s">
        <v>30</v>
      </c>
      <c r="E4" s="11">
        <v>15</v>
      </c>
      <c r="F4" s="11">
        <v>25</v>
      </c>
      <c r="G4" s="12">
        <v>45474</v>
      </c>
      <c r="H4" s="8">
        <f t="shared" si="0"/>
        <v>375</v>
      </c>
    </row>
    <row r="5" spans="1:16" ht="21" x14ac:dyDescent="0.4">
      <c r="A5" s="11">
        <v>1004</v>
      </c>
      <c r="B5" s="10" t="s">
        <v>31</v>
      </c>
      <c r="C5" s="10" t="s">
        <v>32</v>
      </c>
      <c r="D5" s="10" t="s">
        <v>24</v>
      </c>
      <c r="E5" s="11">
        <v>5</v>
      </c>
      <c r="F5" s="11">
        <v>50</v>
      </c>
      <c r="G5" s="12">
        <v>45505</v>
      </c>
      <c r="H5" s="8">
        <f t="shared" si="0"/>
        <v>250</v>
      </c>
      <c r="L5" s="18">
        <f>SUMIFS(H2:H51,D2:D51,"Notebook",C2:C51,"North")</f>
        <v>2900</v>
      </c>
    </row>
    <row r="6" spans="1:16" x14ac:dyDescent="0.3">
      <c r="A6" s="11">
        <v>1005</v>
      </c>
      <c r="B6" s="10" t="s">
        <v>33</v>
      </c>
      <c r="C6" s="10" t="s">
        <v>23</v>
      </c>
      <c r="D6" s="10" t="s">
        <v>34</v>
      </c>
      <c r="E6" s="11">
        <v>30</v>
      </c>
      <c r="F6" s="11">
        <v>5</v>
      </c>
      <c r="G6" s="12">
        <v>45566</v>
      </c>
      <c r="H6" s="8">
        <f t="shared" si="0"/>
        <v>150</v>
      </c>
    </row>
    <row r="7" spans="1:16" x14ac:dyDescent="0.3">
      <c r="A7" s="11">
        <v>1006</v>
      </c>
      <c r="B7" s="10" t="s">
        <v>35</v>
      </c>
      <c r="C7" s="10" t="s">
        <v>26</v>
      </c>
      <c r="D7" s="10" t="s">
        <v>24</v>
      </c>
      <c r="E7" s="11">
        <v>12</v>
      </c>
      <c r="F7" s="11">
        <v>50</v>
      </c>
      <c r="G7" s="12">
        <v>45597</v>
      </c>
      <c r="H7" s="8">
        <f t="shared" si="0"/>
        <v>600</v>
      </c>
    </row>
    <row r="8" spans="1:16" x14ac:dyDescent="0.3">
      <c r="A8" s="11">
        <v>1007</v>
      </c>
      <c r="B8" s="10" t="s">
        <v>36</v>
      </c>
      <c r="C8" s="10" t="s">
        <v>29</v>
      </c>
      <c r="D8" s="10" t="s">
        <v>37</v>
      </c>
      <c r="E8" s="11">
        <v>25</v>
      </c>
      <c r="F8" s="11">
        <v>8</v>
      </c>
      <c r="G8" s="11" t="s">
        <v>38</v>
      </c>
      <c r="H8" s="8">
        <f t="shared" si="0"/>
        <v>200</v>
      </c>
    </row>
    <row r="9" spans="1:16" x14ac:dyDescent="0.3">
      <c r="A9" s="11">
        <v>1008</v>
      </c>
      <c r="B9" s="10" t="s">
        <v>39</v>
      </c>
      <c r="C9" s="10" t="s">
        <v>32</v>
      </c>
      <c r="D9" s="10" t="s">
        <v>27</v>
      </c>
      <c r="E9" s="11">
        <v>18</v>
      </c>
      <c r="F9" s="11">
        <v>10</v>
      </c>
      <c r="G9" s="11" t="s">
        <v>40</v>
      </c>
      <c r="H9" s="8">
        <f t="shared" si="0"/>
        <v>180</v>
      </c>
    </row>
    <row r="10" spans="1:16" x14ac:dyDescent="0.3">
      <c r="A10" s="11">
        <v>1009</v>
      </c>
      <c r="B10" s="10" t="s">
        <v>41</v>
      </c>
      <c r="C10" s="10" t="s">
        <v>23</v>
      </c>
      <c r="D10" s="10" t="s">
        <v>30</v>
      </c>
      <c r="E10" s="11">
        <v>22</v>
      </c>
      <c r="F10" s="11">
        <v>25</v>
      </c>
      <c r="G10" s="11" t="s">
        <v>42</v>
      </c>
      <c r="H10" s="8">
        <f t="shared" si="0"/>
        <v>550</v>
      </c>
    </row>
    <row r="11" spans="1:16" x14ac:dyDescent="0.3">
      <c r="A11" s="11">
        <v>1010</v>
      </c>
      <c r="B11" s="10" t="s">
        <v>43</v>
      </c>
      <c r="C11" s="10" t="s">
        <v>26</v>
      </c>
      <c r="D11" s="10" t="s">
        <v>24</v>
      </c>
      <c r="E11" s="11">
        <v>8</v>
      </c>
      <c r="F11" s="11">
        <v>50</v>
      </c>
      <c r="G11" s="11" t="s">
        <v>44</v>
      </c>
      <c r="H11" s="8">
        <f t="shared" si="0"/>
        <v>400</v>
      </c>
    </row>
    <row r="12" spans="1:16" x14ac:dyDescent="0.3">
      <c r="A12" s="11">
        <v>1011</v>
      </c>
      <c r="B12" s="10" t="s">
        <v>45</v>
      </c>
      <c r="C12" s="10" t="s">
        <v>29</v>
      </c>
      <c r="D12" s="10" t="s">
        <v>34</v>
      </c>
      <c r="E12" s="11">
        <v>40</v>
      </c>
      <c r="F12" s="11">
        <v>5</v>
      </c>
      <c r="G12" s="11" t="s">
        <v>46</v>
      </c>
      <c r="H12" s="8">
        <f t="shared" si="0"/>
        <v>200</v>
      </c>
    </row>
    <row r="13" spans="1:16" x14ac:dyDescent="0.3">
      <c r="A13" s="11">
        <v>1012</v>
      </c>
      <c r="B13" s="10" t="s">
        <v>47</v>
      </c>
      <c r="C13" s="10" t="s">
        <v>32</v>
      </c>
      <c r="D13" s="10" t="s">
        <v>37</v>
      </c>
      <c r="E13" s="11">
        <v>35</v>
      </c>
      <c r="F13" s="11">
        <v>8</v>
      </c>
      <c r="G13" s="11" t="s">
        <v>48</v>
      </c>
      <c r="H13" s="8">
        <f t="shared" si="0"/>
        <v>280</v>
      </c>
    </row>
    <row r="14" spans="1:16" x14ac:dyDescent="0.3">
      <c r="A14" s="11">
        <v>1013</v>
      </c>
      <c r="B14" s="10" t="s">
        <v>49</v>
      </c>
      <c r="C14" s="10" t="s">
        <v>23</v>
      </c>
      <c r="D14" s="10" t="s">
        <v>24</v>
      </c>
      <c r="E14" s="11">
        <v>14</v>
      </c>
      <c r="F14" s="11">
        <v>50</v>
      </c>
      <c r="G14" s="11" t="s">
        <v>50</v>
      </c>
      <c r="H14" s="8">
        <f t="shared" si="0"/>
        <v>700</v>
      </c>
    </row>
    <row r="15" spans="1:16" x14ac:dyDescent="0.3">
      <c r="A15" s="11">
        <v>1014</v>
      </c>
      <c r="B15" s="10" t="s">
        <v>51</v>
      </c>
      <c r="C15" s="10" t="s">
        <v>26</v>
      </c>
      <c r="D15" s="10" t="s">
        <v>27</v>
      </c>
      <c r="E15" s="11">
        <v>28</v>
      </c>
      <c r="F15" s="11">
        <v>10</v>
      </c>
      <c r="G15" s="11" t="s">
        <v>52</v>
      </c>
      <c r="H15" s="8">
        <f t="shared" si="0"/>
        <v>280</v>
      </c>
    </row>
    <row r="16" spans="1:16" x14ac:dyDescent="0.3">
      <c r="A16" s="11">
        <v>1015</v>
      </c>
      <c r="B16" s="10" t="s">
        <v>53</v>
      </c>
      <c r="C16" s="10" t="s">
        <v>29</v>
      </c>
      <c r="D16" s="10" t="s">
        <v>30</v>
      </c>
      <c r="E16" s="11">
        <v>12</v>
      </c>
      <c r="F16" s="11">
        <v>25</v>
      </c>
      <c r="G16" s="11" t="s">
        <v>54</v>
      </c>
      <c r="H16" s="8">
        <f t="shared" si="0"/>
        <v>300</v>
      </c>
    </row>
    <row r="17" spans="1:8" x14ac:dyDescent="0.3">
      <c r="A17" s="11">
        <v>1016</v>
      </c>
      <c r="B17" s="10" t="s">
        <v>55</v>
      </c>
      <c r="C17" s="10" t="s">
        <v>32</v>
      </c>
      <c r="D17" s="10" t="s">
        <v>34</v>
      </c>
      <c r="E17" s="11">
        <v>25</v>
      </c>
      <c r="F17" s="11">
        <v>5</v>
      </c>
      <c r="G17" s="11" t="s">
        <v>56</v>
      </c>
      <c r="H17" s="8">
        <f t="shared" si="0"/>
        <v>125</v>
      </c>
    </row>
    <row r="18" spans="1:8" x14ac:dyDescent="0.3">
      <c r="A18" s="11">
        <v>1017</v>
      </c>
      <c r="B18" s="10" t="s">
        <v>57</v>
      </c>
      <c r="C18" s="10" t="s">
        <v>23</v>
      </c>
      <c r="D18" s="10" t="s">
        <v>37</v>
      </c>
      <c r="E18" s="11">
        <v>20</v>
      </c>
      <c r="F18" s="11">
        <v>8</v>
      </c>
      <c r="G18" s="11" t="s">
        <v>58</v>
      </c>
      <c r="H18" s="8">
        <f t="shared" si="0"/>
        <v>160</v>
      </c>
    </row>
    <row r="19" spans="1:8" x14ac:dyDescent="0.3">
      <c r="A19" s="11">
        <v>1018</v>
      </c>
      <c r="B19" s="10" t="s">
        <v>59</v>
      </c>
      <c r="C19" s="10" t="s">
        <v>26</v>
      </c>
      <c r="D19" s="10" t="s">
        <v>24</v>
      </c>
      <c r="E19" s="11">
        <v>10</v>
      </c>
      <c r="F19" s="11">
        <v>50</v>
      </c>
      <c r="G19" s="11" t="s">
        <v>60</v>
      </c>
      <c r="H19" s="8">
        <f t="shared" si="0"/>
        <v>500</v>
      </c>
    </row>
    <row r="20" spans="1:8" x14ac:dyDescent="0.3">
      <c r="A20" s="11">
        <v>1019</v>
      </c>
      <c r="B20" s="10" t="s">
        <v>61</v>
      </c>
      <c r="C20" s="10" t="s">
        <v>29</v>
      </c>
      <c r="D20" s="10" t="s">
        <v>27</v>
      </c>
      <c r="E20" s="11">
        <v>15</v>
      </c>
      <c r="F20" s="11">
        <v>10</v>
      </c>
      <c r="G20" s="11" t="s">
        <v>62</v>
      </c>
      <c r="H20" s="8">
        <f t="shared" si="0"/>
        <v>150</v>
      </c>
    </row>
    <row r="21" spans="1:8" x14ac:dyDescent="0.3">
      <c r="A21" s="11">
        <v>1020</v>
      </c>
      <c r="B21" s="10" t="s">
        <v>63</v>
      </c>
      <c r="C21" s="10" t="s">
        <v>32</v>
      </c>
      <c r="D21" s="10" t="s">
        <v>30</v>
      </c>
      <c r="E21" s="11">
        <v>18</v>
      </c>
      <c r="F21" s="11">
        <v>25</v>
      </c>
      <c r="G21" s="12">
        <v>45293</v>
      </c>
      <c r="H21" s="8">
        <f t="shared" si="0"/>
        <v>450</v>
      </c>
    </row>
    <row r="22" spans="1:8" x14ac:dyDescent="0.3">
      <c r="A22" s="11">
        <v>1021</v>
      </c>
      <c r="B22" s="10" t="s">
        <v>64</v>
      </c>
      <c r="C22" s="10" t="s">
        <v>23</v>
      </c>
      <c r="D22" s="10" t="s">
        <v>24</v>
      </c>
      <c r="E22" s="11">
        <v>9</v>
      </c>
      <c r="F22" s="11">
        <v>50</v>
      </c>
      <c r="G22" s="12">
        <v>45324</v>
      </c>
      <c r="H22" s="8">
        <f t="shared" si="0"/>
        <v>450</v>
      </c>
    </row>
    <row r="23" spans="1:8" x14ac:dyDescent="0.3">
      <c r="A23" s="11">
        <v>1022</v>
      </c>
      <c r="B23" s="10" t="s">
        <v>65</v>
      </c>
      <c r="C23" s="10" t="s">
        <v>26</v>
      </c>
      <c r="D23" s="10" t="s">
        <v>34</v>
      </c>
      <c r="E23" s="11">
        <v>35</v>
      </c>
      <c r="F23" s="11">
        <v>5</v>
      </c>
      <c r="G23" s="12">
        <v>45353</v>
      </c>
      <c r="H23" s="8">
        <f t="shared" si="0"/>
        <v>175</v>
      </c>
    </row>
    <row r="24" spans="1:8" x14ac:dyDescent="0.3">
      <c r="A24" s="11">
        <v>1023</v>
      </c>
      <c r="B24" s="10" t="s">
        <v>66</v>
      </c>
      <c r="C24" s="10" t="s">
        <v>29</v>
      </c>
      <c r="D24" s="10" t="s">
        <v>37</v>
      </c>
      <c r="E24" s="11">
        <v>30</v>
      </c>
      <c r="F24" s="11">
        <v>8</v>
      </c>
      <c r="G24" s="12">
        <v>45384</v>
      </c>
      <c r="H24" s="8">
        <f t="shared" si="0"/>
        <v>240</v>
      </c>
    </row>
    <row r="25" spans="1:8" x14ac:dyDescent="0.3">
      <c r="A25" s="11">
        <v>1024</v>
      </c>
      <c r="B25" s="10" t="s">
        <v>67</v>
      </c>
      <c r="C25" s="10" t="s">
        <v>32</v>
      </c>
      <c r="D25" s="10" t="s">
        <v>24</v>
      </c>
      <c r="E25" s="11">
        <v>11</v>
      </c>
      <c r="F25" s="11">
        <v>50</v>
      </c>
      <c r="G25" s="12">
        <v>45445</v>
      </c>
      <c r="H25" s="8">
        <f t="shared" si="0"/>
        <v>550</v>
      </c>
    </row>
    <row r="26" spans="1:8" x14ac:dyDescent="0.3">
      <c r="A26" s="11">
        <v>1025</v>
      </c>
      <c r="B26" s="10" t="s">
        <v>68</v>
      </c>
      <c r="C26" s="10" t="s">
        <v>23</v>
      </c>
      <c r="D26" s="10" t="s">
        <v>27</v>
      </c>
      <c r="E26" s="11">
        <v>14</v>
      </c>
      <c r="F26" s="11">
        <v>10</v>
      </c>
      <c r="G26" s="12">
        <v>45475</v>
      </c>
      <c r="H26" s="8">
        <f t="shared" si="0"/>
        <v>140</v>
      </c>
    </row>
    <row r="27" spans="1:8" x14ac:dyDescent="0.3">
      <c r="A27" s="11">
        <v>1026</v>
      </c>
      <c r="B27" s="10" t="s">
        <v>69</v>
      </c>
      <c r="C27" s="10" t="s">
        <v>26</v>
      </c>
      <c r="D27" s="10" t="s">
        <v>30</v>
      </c>
      <c r="E27" s="11">
        <v>16</v>
      </c>
      <c r="F27" s="11">
        <v>25</v>
      </c>
      <c r="G27" s="12">
        <v>45506</v>
      </c>
      <c r="H27" s="8">
        <f t="shared" si="0"/>
        <v>400</v>
      </c>
    </row>
    <row r="28" spans="1:8" x14ac:dyDescent="0.3">
      <c r="A28" s="11">
        <v>1027</v>
      </c>
      <c r="B28" s="10" t="s">
        <v>70</v>
      </c>
      <c r="C28" s="10" t="s">
        <v>29</v>
      </c>
      <c r="D28" s="10" t="s">
        <v>34</v>
      </c>
      <c r="E28" s="11">
        <v>22</v>
      </c>
      <c r="F28" s="11">
        <v>5</v>
      </c>
      <c r="G28" s="12">
        <v>45537</v>
      </c>
      <c r="H28" s="8">
        <f t="shared" si="0"/>
        <v>110</v>
      </c>
    </row>
    <row r="29" spans="1:8" x14ac:dyDescent="0.3">
      <c r="A29" s="11">
        <v>1028</v>
      </c>
      <c r="B29" s="10" t="s">
        <v>71</v>
      </c>
      <c r="C29" s="10" t="s">
        <v>32</v>
      </c>
      <c r="D29" s="10" t="s">
        <v>37</v>
      </c>
      <c r="E29" s="11">
        <v>27</v>
      </c>
      <c r="F29" s="11">
        <v>8</v>
      </c>
      <c r="G29" s="12">
        <v>45567</v>
      </c>
      <c r="H29" s="8">
        <f t="shared" si="0"/>
        <v>216</v>
      </c>
    </row>
    <row r="30" spans="1:8" x14ac:dyDescent="0.3">
      <c r="A30" s="11">
        <v>1029</v>
      </c>
      <c r="B30" s="10" t="s">
        <v>72</v>
      </c>
      <c r="C30" s="10" t="s">
        <v>23</v>
      </c>
      <c r="D30" s="10" t="s">
        <v>24</v>
      </c>
      <c r="E30" s="11">
        <v>13</v>
      </c>
      <c r="F30" s="11">
        <v>50</v>
      </c>
      <c r="G30" s="12">
        <v>45628</v>
      </c>
      <c r="H30" s="8">
        <f t="shared" si="0"/>
        <v>650</v>
      </c>
    </row>
    <row r="31" spans="1:8" x14ac:dyDescent="0.3">
      <c r="A31" s="11">
        <v>1030</v>
      </c>
      <c r="B31" s="10" t="s">
        <v>73</v>
      </c>
      <c r="C31" s="10" t="s">
        <v>26</v>
      </c>
      <c r="D31" s="10" t="s">
        <v>27</v>
      </c>
      <c r="E31" s="11">
        <v>32</v>
      </c>
      <c r="F31" s="11">
        <v>10</v>
      </c>
      <c r="G31" s="11" t="s">
        <v>74</v>
      </c>
      <c r="H31" s="8">
        <f t="shared" si="0"/>
        <v>320</v>
      </c>
    </row>
    <row r="32" spans="1:8" x14ac:dyDescent="0.3">
      <c r="A32" s="11">
        <v>1031</v>
      </c>
      <c r="B32" s="10" t="s">
        <v>75</v>
      </c>
      <c r="C32" s="10" t="s">
        <v>29</v>
      </c>
      <c r="D32" s="10" t="s">
        <v>30</v>
      </c>
      <c r="E32" s="11">
        <v>10</v>
      </c>
      <c r="F32" s="11">
        <v>25</v>
      </c>
      <c r="G32" s="11" t="s">
        <v>76</v>
      </c>
      <c r="H32" s="8">
        <f t="shared" si="0"/>
        <v>250</v>
      </c>
    </row>
    <row r="33" spans="1:8" x14ac:dyDescent="0.3">
      <c r="A33" s="11">
        <v>1032</v>
      </c>
      <c r="B33" s="10" t="s">
        <v>77</v>
      </c>
      <c r="C33" s="10" t="s">
        <v>32</v>
      </c>
      <c r="D33" s="10" t="s">
        <v>34</v>
      </c>
      <c r="E33" s="11">
        <v>18</v>
      </c>
      <c r="F33" s="11">
        <v>5</v>
      </c>
      <c r="G33" s="11" t="s">
        <v>78</v>
      </c>
      <c r="H33" s="8">
        <f t="shared" si="0"/>
        <v>90</v>
      </c>
    </row>
    <row r="34" spans="1:8" x14ac:dyDescent="0.3">
      <c r="A34" s="11">
        <v>1033</v>
      </c>
      <c r="B34" s="10" t="s">
        <v>79</v>
      </c>
      <c r="C34" s="10" t="s">
        <v>23</v>
      </c>
      <c r="D34" s="10" t="s">
        <v>37</v>
      </c>
      <c r="E34" s="11">
        <v>22</v>
      </c>
      <c r="F34" s="11">
        <v>8</v>
      </c>
      <c r="G34" s="11" t="s">
        <v>80</v>
      </c>
      <c r="H34" s="8">
        <f t="shared" si="0"/>
        <v>176</v>
      </c>
    </row>
    <row r="35" spans="1:8" x14ac:dyDescent="0.3">
      <c r="A35" s="11">
        <v>1034</v>
      </c>
      <c r="B35" s="10" t="s">
        <v>81</v>
      </c>
      <c r="C35" s="10" t="s">
        <v>26</v>
      </c>
      <c r="D35" s="10" t="s">
        <v>24</v>
      </c>
      <c r="E35" s="11">
        <v>17</v>
      </c>
      <c r="F35" s="11">
        <v>50</v>
      </c>
      <c r="G35" s="11" t="s">
        <v>82</v>
      </c>
      <c r="H35" s="8">
        <f t="shared" si="0"/>
        <v>850</v>
      </c>
    </row>
    <row r="36" spans="1:8" x14ac:dyDescent="0.3">
      <c r="A36" s="11">
        <v>1035</v>
      </c>
      <c r="B36" s="10" t="s">
        <v>83</v>
      </c>
      <c r="C36" s="10" t="s">
        <v>29</v>
      </c>
      <c r="D36" s="10" t="s">
        <v>27</v>
      </c>
      <c r="E36" s="11">
        <v>19</v>
      </c>
      <c r="F36" s="11">
        <v>10</v>
      </c>
      <c r="G36" s="11" t="s">
        <v>84</v>
      </c>
      <c r="H36" s="8">
        <f t="shared" si="0"/>
        <v>190</v>
      </c>
    </row>
    <row r="37" spans="1:8" x14ac:dyDescent="0.3">
      <c r="A37" s="11">
        <v>1036</v>
      </c>
      <c r="B37" s="10" t="s">
        <v>85</v>
      </c>
      <c r="C37" s="10" t="s">
        <v>32</v>
      </c>
      <c r="D37" s="10" t="s">
        <v>30</v>
      </c>
      <c r="E37" s="11">
        <v>15</v>
      </c>
      <c r="F37" s="11">
        <v>25</v>
      </c>
      <c r="G37" s="11" t="s">
        <v>86</v>
      </c>
      <c r="H37" s="8">
        <f t="shared" si="0"/>
        <v>375</v>
      </c>
    </row>
    <row r="38" spans="1:8" x14ac:dyDescent="0.3">
      <c r="A38" s="11">
        <v>1037</v>
      </c>
      <c r="B38" s="10" t="s">
        <v>87</v>
      </c>
      <c r="C38" s="10" t="s">
        <v>23</v>
      </c>
      <c r="D38" s="10" t="s">
        <v>34</v>
      </c>
      <c r="E38" s="11">
        <v>28</v>
      </c>
      <c r="F38" s="11">
        <v>5</v>
      </c>
      <c r="G38" s="11" t="s">
        <v>88</v>
      </c>
      <c r="H38" s="8">
        <f t="shared" si="0"/>
        <v>140</v>
      </c>
    </row>
    <row r="39" spans="1:8" x14ac:dyDescent="0.3">
      <c r="A39" s="11">
        <v>1038</v>
      </c>
      <c r="B39" s="10" t="s">
        <v>89</v>
      </c>
      <c r="C39" s="10" t="s">
        <v>26</v>
      </c>
      <c r="D39" s="10" t="s">
        <v>37</v>
      </c>
      <c r="E39" s="11">
        <v>24</v>
      </c>
      <c r="F39" s="11">
        <v>8</v>
      </c>
      <c r="G39" s="11" t="s">
        <v>90</v>
      </c>
      <c r="H39" s="8">
        <f t="shared" si="0"/>
        <v>192</v>
      </c>
    </row>
    <row r="40" spans="1:8" x14ac:dyDescent="0.3">
      <c r="A40" s="11">
        <v>1039</v>
      </c>
      <c r="B40" s="10" t="s">
        <v>91</v>
      </c>
      <c r="C40" s="10" t="s">
        <v>29</v>
      </c>
      <c r="D40" s="10" t="s">
        <v>24</v>
      </c>
      <c r="E40" s="11">
        <v>16</v>
      </c>
      <c r="F40" s="11">
        <v>50</v>
      </c>
      <c r="G40" s="11" t="s">
        <v>92</v>
      </c>
      <c r="H40" s="8">
        <f t="shared" si="0"/>
        <v>800</v>
      </c>
    </row>
    <row r="41" spans="1:8" x14ac:dyDescent="0.3">
      <c r="A41" s="11">
        <v>1040</v>
      </c>
      <c r="B41" s="10" t="s">
        <v>93</v>
      </c>
      <c r="C41" s="10" t="s">
        <v>32</v>
      </c>
      <c r="D41" s="10" t="s">
        <v>27</v>
      </c>
      <c r="E41" s="11">
        <v>27</v>
      </c>
      <c r="F41" s="11">
        <v>10</v>
      </c>
      <c r="G41" s="11" t="s">
        <v>94</v>
      </c>
      <c r="H41" s="8">
        <f t="shared" si="0"/>
        <v>270</v>
      </c>
    </row>
    <row r="42" spans="1:8" x14ac:dyDescent="0.3">
      <c r="A42" s="11">
        <v>1041</v>
      </c>
      <c r="B42" s="10" t="s">
        <v>95</v>
      </c>
      <c r="C42" s="10" t="s">
        <v>23</v>
      </c>
      <c r="D42" s="10" t="s">
        <v>30</v>
      </c>
      <c r="E42" s="11">
        <v>21</v>
      </c>
      <c r="F42" s="11">
        <v>25</v>
      </c>
      <c r="G42" s="11" t="s">
        <v>96</v>
      </c>
      <c r="H42" s="8">
        <f t="shared" si="0"/>
        <v>525</v>
      </c>
    </row>
    <row r="43" spans="1:8" x14ac:dyDescent="0.3">
      <c r="A43" s="11">
        <v>1042</v>
      </c>
      <c r="B43" s="10" t="s">
        <v>97</v>
      </c>
      <c r="C43" s="10" t="s">
        <v>26</v>
      </c>
      <c r="D43" s="10" t="s">
        <v>34</v>
      </c>
      <c r="E43" s="11">
        <v>30</v>
      </c>
      <c r="F43" s="11">
        <v>5</v>
      </c>
      <c r="G43" s="11" t="s">
        <v>98</v>
      </c>
      <c r="H43" s="8">
        <f t="shared" si="0"/>
        <v>150</v>
      </c>
    </row>
    <row r="44" spans="1:8" x14ac:dyDescent="0.3">
      <c r="A44" s="11">
        <v>1043</v>
      </c>
      <c r="B44" s="10" t="s">
        <v>99</v>
      </c>
      <c r="C44" s="10" t="s">
        <v>29</v>
      </c>
      <c r="D44" s="10" t="s">
        <v>37</v>
      </c>
      <c r="E44" s="11">
        <v>26</v>
      </c>
      <c r="F44" s="11">
        <v>8</v>
      </c>
      <c r="G44" s="12">
        <v>45294</v>
      </c>
      <c r="H44" s="8">
        <f t="shared" si="0"/>
        <v>208</v>
      </c>
    </row>
    <row r="45" spans="1:8" x14ac:dyDescent="0.3">
      <c r="A45" s="11">
        <v>1044</v>
      </c>
      <c r="B45" s="10" t="s">
        <v>100</v>
      </c>
      <c r="C45" s="10" t="s">
        <v>32</v>
      </c>
      <c r="D45" s="10" t="s">
        <v>24</v>
      </c>
      <c r="E45" s="11">
        <v>14</v>
      </c>
      <c r="F45" s="11">
        <v>50</v>
      </c>
      <c r="G45" s="12">
        <v>45325</v>
      </c>
      <c r="H45" s="8">
        <f t="shared" si="0"/>
        <v>700</v>
      </c>
    </row>
    <row r="46" spans="1:8" x14ac:dyDescent="0.3">
      <c r="A46" s="11">
        <v>1045</v>
      </c>
      <c r="B46" s="10" t="s">
        <v>101</v>
      </c>
      <c r="C46" s="10" t="s">
        <v>23</v>
      </c>
      <c r="D46" s="10" t="s">
        <v>27</v>
      </c>
      <c r="E46" s="11">
        <v>20</v>
      </c>
      <c r="F46" s="11">
        <v>10</v>
      </c>
      <c r="G46" s="12">
        <v>45354</v>
      </c>
      <c r="H46" s="8">
        <f t="shared" si="0"/>
        <v>200</v>
      </c>
    </row>
    <row r="47" spans="1:8" x14ac:dyDescent="0.3">
      <c r="A47" s="11">
        <v>1046</v>
      </c>
      <c r="B47" s="10" t="s">
        <v>102</v>
      </c>
      <c r="C47" s="10" t="s">
        <v>26</v>
      </c>
      <c r="D47" s="10" t="s">
        <v>30</v>
      </c>
      <c r="E47" s="11">
        <v>17</v>
      </c>
      <c r="F47" s="11">
        <v>25</v>
      </c>
      <c r="G47" s="12">
        <v>45385</v>
      </c>
      <c r="H47" s="8">
        <f t="shared" si="0"/>
        <v>425</v>
      </c>
    </row>
    <row r="48" spans="1:8" x14ac:dyDescent="0.3">
      <c r="A48" s="11">
        <v>1047</v>
      </c>
      <c r="B48" s="10" t="s">
        <v>103</v>
      </c>
      <c r="C48" s="10" t="s">
        <v>29</v>
      </c>
      <c r="D48" s="10" t="s">
        <v>34</v>
      </c>
      <c r="E48" s="11">
        <v>19</v>
      </c>
      <c r="F48" s="11">
        <v>5</v>
      </c>
      <c r="G48" s="12">
        <v>45415</v>
      </c>
      <c r="H48" s="8">
        <f t="shared" si="0"/>
        <v>95</v>
      </c>
    </row>
    <row r="49" spans="1:8" x14ac:dyDescent="0.3">
      <c r="A49" s="11">
        <v>1048</v>
      </c>
      <c r="B49" s="10" t="s">
        <v>104</v>
      </c>
      <c r="C49" s="10" t="s">
        <v>32</v>
      </c>
      <c r="D49" s="10" t="s">
        <v>37</v>
      </c>
      <c r="E49" s="11">
        <v>32</v>
      </c>
      <c r="F49" s="11">
        <v>8</v>
      </c>
      <c r="G49" s="12">
        <v>45446</v>
      </c>
      <c r="H49" s="8">
        <f t="shared" si="0"/>
        <v>256</v>
      </c>
    </row>
    <row r="50" spans="1:8" x14ac:dyDescent="0.3">
      <c r="A50" s="11">
        <v>1049</v>
      </c>
      <c r="B50" s="10" t="s">
        <v>105</v>
      </c>
      <c r="C50" s="10" t="s">
        <v>23</v>
      </c>
      <c r="D50" s="10" t="s">
        <v>24</v>
      </c>
      <c r="E50" s="11">
        <v>12</v>
      </c>
      <c r="F50" s="11">
        <v>50</v>
      </c>
      <c r="G50" s="12">
        <v>45476</v>
      </c>
      <c r="H50" s="8">
        <f t="shared" si="0"/>
        <v>600</v>
      </c>
    </row>
    <row r="51" spans="1:8" x14ac:dyDescent="0.3">
      <c r="A51" s="11">
        <v>1050</v>
      </c>
      <c r="B51" s="10" t="s">
        <v>106</v>
      </c>
      <c r="C51" s="10" t="s">
        <v>26</v>
      </c>
      <c r="D51" s="10" t="s">
        <v>27</v>
      </c>
      <c r="E51" s="11">
        <v>25</v>
      </c>
      <c r="F51" s="11">
        <v>10</v>
      </c>
      <c r="G51" s="12">
        <v>45507</v>
      </c>
      <c r="H51" s="8">
        <f t="shared" si="0"/>
        <v>250</v>
      </c>
    </row>
    <row r="52" spans="1:8" x14ac:dyDescent="0.3">
      <c r="H5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D0E8-936D-4F09-B0C6-DF43A0B9436C}">
  <dimension ref="A1:O51"/>
  <sheetViews>
    <sheetView topLeftCell="D1" workbookViewId="0">
      <selection activeCell="K1" sqref="K1:O1"/>
    </sheetView>
  </sheetViews>
  <sheetFormatPr defaultRowHeight="14.4" x14ac:dyDescent="0.3"/>
  <cols>
    <col min="1" max="1" width="7.5546875" bestFit="1" customWidth="1"/>
    <col min="2" max="2" width="14.21875" bestFit="1" customWidth="1"/>
    <col min="5" max="5" width="8.33203125" bestFit="1" customWidth="1"/>
    <col min="6" max="6" width="8.6640625" bestFit="1" customWidth="1"/>
    <col min="7" max="7" width="10.33203125" bestFit="1" customWidth="1"/>
    <col min="8" max="8" width="12" bestFit="1" customWidth="1"/>
    <col min="12" max="12" width="11.44140625" bestFit="1" customWidth="1"/>
    <col min="13" max="13" width="18.6640625" bestFit="1" customWidth="1"/>
  </cols>
  <sheetData>
    <row r="1" spans="1:15" x14ac:dyDescent="0.3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13" t="s">
        <v>109</v>
      </c>
      <c r="K1" s="23" t="s">
        <v>111</v>
      </c>
      <c r="L1" s="24"/>
      <c r="M1" s="24"/>
      <c r="N1" s="24"/>
      <c r="O1" s="24"/>
    </row>
    <row r="2" spans="1:15" x14ac:dyDescent="0.3">
      <c r="A2" s="10">
        <v>1001</v>
      </c>
      <c r="B2" s="10" t="s">
        <v>22</v>
      </c>
      <c r="C2" s="10" t="s">
        <v>23</v>
      </c>
      <c r="D2" s="10" t="s">
        <v>24</v>
      </c>
      <c r="E2" s="11">
        <v>10</v>
      </c>
      <c r="F2" s="11">
        <v>50</v>
      </c>
      <c r="G2" s="12">
        <v>45413</v>
      </c>
      <c r="H2" s="8">
        <f>PRODUCT(E2,F2)</f>
        <v>500</v>
      </c>
    </row>
    <row r="3" spans="1:15" x14ac:dyDescent="0.3">
      <c r="A3" s="11">
        <v>1002</v>
      </c>
      <c r="B3" s="10" t="s">
        <v>25</v>
      </c>
      <c r="C3" s="10" t="s">
        <v>26</v>
      </c>
      <c r="D3" s="10" t="s">
        <v>27</v>
      </c>
      <c r="E3" s="11">
        <v>20</v>
      </c>
      <c r="F3" s="11">
        <v>10</v>
      </c>
      <c r="G3" s="12">
        <v>45444</v>
      </c>
      <c r="H3" s="8">
        <f t="shared" ref="H3:H51" si="0">PRODUCT(E3,F3)</f>
        <v>200</v>
      </c>
      <c r="L3" s="16" t="s">
        <v>113</v>
      </c>
      <c r="M3" t="s">
        <v>114</v>
      </c>
    </row>
    <row r="4" spans="1:15" x14ac:dyDescent="0.3">
      <c r="A4" s="11">
        <v>1003</v>
      </c>
      <c r="B4" s="10" t="s">
        <v>28</v>
      </c>
      <c r="C4" s="10" t="s">
        <v>29</v>
      </c>
      <c r="D4" s="10" t="s">
        <v>30</v>
      </c>
      <c r="E4" s="11">
        <v>15</v>
      </c>
      <c r="F4" s="11">
        <v>25</v>
      </c>
      <c r="G4" s="12">
        <v>45474</v>
      </c>
      <c r="H4" s="8">
        <f t="shared" si="0"/>
        <v>375</v>
      </c>
      <c r="L4" s="14" t="s">
        <v>37</v>
      </c>
      <c r="M4" s="1">
        <v>1928</v>
      </c>
    </row>
    <row r="5" spans="1:15" x14ac:dyDescent="0.3">
      <c r="A5" s="11">
        <v>1004</v>
      </c>
      <c r="B5" s="10" t="s">
        <v>31</v>
      </c>
      <c r="C5" s="10" t="s">
        <v>32</v>
      </c>
      <c r="D5" s="10" t="s">
        <v>24</v>
      </c>
      <c r="E5" s="11">
        <v>5</v>
      </c>
      <c r="F5" s="11">
        <v>50</v>
      </c>
      <c r="G5" s="12">
        <v>45505</v>
      </c>
      <c r="H5" s="8">
        <f t="shared" si="0"/>
        <v>250</v>
      </c>
      <c r="L5" s="14" t="s">
        <v>30</v>
      </c>
      <c r="M5" s="1">
        <v>3650</v>
      </c>
    </row>
    <row r="6" spans="1:15" x14ac:dyDescent="0.3">
      <c r="A6" s="11">
        <v>1005</v>
      </c>
      <c r="B6" s="10" t="s">
        <v>33</v>
      </c>
      <c r="C6" s="10" t="s">
        <v>23</v>
      </c>
      <c r="D6" s="10" t="s">
        <v>34</v>
      </c>
      <c r="E6" s="11">
        <v>30</v>
      </c>
      <c r="F6" s="11">
        <v>5</v>
      </c>
      <c r="G6" s="12">
        <v>45566</v>
      </c>
      <c r="H6" s="8">
        <f t="shared" si="0"/>
        <v>150</v>
      </c>
      <c r="L6" s="14" t="s">
        <v>24</v>
      </c>
      <c r="M6" s="1">
        <v>7550</v>
      </c>
    </row>
    <row r="7" spans="1:15" x14ac:dyDescent="0.3">
      <c r="A7" s="11">
        <v>1006</v>
      </c>
      <c r="B7" s="10" t="s">
        <v>35</v>
      </c>
      <c r="C7" s="10" t="s">
        <v>26</v>
      </c>
      <c r="D7" s="10" t="s">
        <v>24</v>
      </c>
      <c r="E7" s="11">
        <v>12</v>
      </c>
      <c r="F7" s="11">
        <v>50</v>
      </c>
      <c r="G7" s="12">
        <v>45597</v>
      </c>
      <c r="H7" s="8">
        <f t="shared" si="0"/>
        <v>600</v>
      </c>
      <c r="L7" s="14" t="s">
        <v>27</v>
      </c>
      <c r="M7" s="1">
        <v>2180</v>
      </c>
    </row>
    <row r="8" spans="1:15" x14ac:dyDescent="0.3">
      <c r="A8" s="11">
        <v>1007</v>
      </c>
      <c r="B8" s="10" t="s">
        <v>36</v>
      </c>
      <c r="C8" s="10" t="s">
        <v>29</v>
      </c>
      <c r="D8" s="10" t="s">
        <v>37</v>
      </c>
      <c r="E8" s="11">
        <v>25</v>
      </c>
      <c r="F8" s="11">
        <v>8</v>
      </c>
      <c r="G8" s="11" t="s">
        <v>38</v>
      </c>
      <c r="H8" s="8">
        <f t="shared" si="0"/>
        <v>200</v>
      </c>
      <c r="L8" s="14" t="s">
        <v>34</v>
      </c>
      <c r="M8" s="1">
        <v>1235</v>
      </c>
    </row>
    <row r="9" spans="1:15" x14ac:dyDescent="0.3">
      <c r="A9" s="11">
        <v>1008</v>
      </c>
      <c r="B9" s="10" t="s">
        <v>39</v>
      </c>
      <c r="C9" s="10" t="s">
        <v>32</v>
      </c>
      <c r="D9" s="10" t="s">
        <v>27</v>
      </c>
      <c r="E9" s="11">
        <v>18</v>
      </c>
      <c r="F9" s="11">
        <v>10</v>
      </c>
      <c r="G9" s="11" t="s">
        <v>40</v>
      </c>
      <c r="H9" s="8">
        <f t="shared" si="0"/>
        <v>180</v>
      </c>
      <c r="L9" s="15" t="s">
        <v>115</v>
      </c>
      <c r="M9">
        <v>16543</v>
      </c>
    </row>
    <row r="10" spans="1:15" x14ac:dyDescent="0.3">
      <c r="A10" s="11">
        <v>1009</v>
      </c>
      <c r="B10" s="10" t="s">
        <v>41</v>
      </c>
      <c r="C10" s="10" t="s">
        <v>23</v>
      </c>
      <c r="D10" s="10" t="s">
        <v>30</v>
      </c>
      <c r="E10" s="11">
        <v>22</v>
      </c>
      <c r="F10" s="11">
        <v>25</v>
      </c>
      <c r="G10" s="11" t="s">
        <v>42</v>
      </c>
      <c r="H10" s="8">
        <f t="shared" si="0"/>
        <v>550</v>
      </c>
    </row>
    <row r="11" spans="1:15" x14ac:dyDescent="0.3">
      <c r="A11" s="11">
        <v>1010</v>
      </c>
      <c r="B11" s="10" t="s">
        <v>43</v>
      </c>
      <c r="C11" s="10" t="s">
        <v>26</v>
      </c>
      <c r="D11" s="10" t="s">
        <v>24</v>
      </c>
      <c r="E11" s="11">
        <v>8</v>
      </c>
      <c r="F11" s="11">
        <v>50</v>
      </c>
      <c r="G11" s="11" t="s">
        <v>44</v>
      </c>
      <c r="H11" s="8">
        <f t="shared" si="0"/>
        <v>400</v>
      </c>
    </row>
    <row r="12" spans="1:15" x14ac:dyDescent="0.3">
      <c r="A12" s="11">
        <v>1011</v>
      </c>
      <c r="B12" s="10" t="s">
        <v>45</v>
      </c>
      <c r="C12" s="10" t="s">
        <v>29</v>
      </c>
      <c r="D12" s="10" t="s">
        <v>34</v>
      </c>
      <c r="E12" s="11">
        <v>40</v>
      </c>
      <c r="F12" s="11">
        <v>5</v>
      </c>
      <c r="G12" s="11" t="s">
        <v>46</v>
      </c>
      <c r="H12" s="8">
        <f t="shared" si="0"/>
        <v>200</v>
      </c>
    </row>
    <row r="13" spans="1:15" x14ac:dyDescent="0.3">
      <c r="A13" s="11">
        <v>1012</v>
      </c>
      <c r="B13" s="10" t="s">
        <v>47</v>
      </c>
      <c r="C13" s="10" t="s">
        <v>32</v>
      </c>
      <c r="D13" s="10" t="s">
        <v>37</v>
      </c>
      <c r="E13" s="11">
        <v>35</v>
      </c>
      <c r="F13" s="11">
        <v>8</v>
      </c>
      <c r="G13" s="11" t="s">
        <v>48</v>
      </c>
      <c r="H13" s="8">
        <f t="shared" si="0"/>
        <v>280</v>
      </c>
    </row>
    <row r="14" spans="1:15" x14ac:dyDescent="0.3">
      <c r="A14" s="11">
        <v>1013</v>
      </c>
      <c r="B14" s="10" t="s">
        <v>49</v>
      </c>
      <c r="C14" s="10" t="s">
        <v>23</v>
      </c>
      <c r="D14" s="10" t="s">
        <v>24</v>
      </c>
      <c r="E14" s="11">
        <v>14</v>
      </c>
      <c r="F14" s="11">
        <v>50</v>
      </c>
      <c r="G14" s="11" t="s">
        <v>50</v>
      </c>
      <c r="H14" s="8">
        <f t="shared" si="0"/>
        <v>700</v>
      </c>
    </row>
    <row r="15" spans="1:15" x14ac:dyDescent="0.3">
      <c r="A15" s="11">
        <v>1014</v>
      </c>
      <c r="B15" s="10" t="s">
        <v>51</v>
      </c>
      <c r="C15" s="10" t="s">
        <v>26</v>
      </c>
      <c r="D15" s="10" t="s">
        <v>27</v>
      </c>
      <c r="E15" s="11">
        <v>28</v>
      </c>
      <c r="F15" s="11">
        <v>10</v>
      </c>
      <c r="G15" s="11" t="s">
        <v>52</v>
      </c>
      <c r="H15" s="8">
        <f t="shared" si="0"/>
        <v>280</v>
      </c>
    </row>
    <row r="16" spans="1:15" x14ac:dyDescent="0.3">
      <c r="A16" s="11">
        <v>1015</v>
      </c>
      <c r="B16" s="10" t="s">
        <v>53</v>
      </c>
      <c r="C16" s="10" t="s">
        <v>29</v>
      </c>
      <c r="D16" s="10" t="s">
        <v>30</v>
      </c>
      <c r="E16" s="11">
        <v>12</v>
      </c>
      <c r="F16" s="11">
        <v>25</v>
      </c>
      <c r="G16" s="11" t="s">
        <v>54</v>
      </c>
      <c r="H16" s="8">
        <f t="shared" si="0"/>
        <v>300</v>
      </c>
    </row>
    <row r="17" spans="1:8" x14ac:dyDescent="0.3">
      <c r="A17" s="11">
        <v>1016</v>
      </c>
      <c r="B17" s="10" t="s">
        <v>55</v>
      </c>
      <c r="C17" s="10" t="s">
        <v>32</v>
      </c>
      <c r="D17" s="10" t="s">
        <v>34</v>
      </c>
      <c r="E17" s="11">
        <v>25</v>
      </c>
      <c r="F17" s="11">
        <v>5</v>
      </c>
      <c r="G17" s="11" t="s">
        <v>56</v>
      </c>
      <c r="H17" s="8">
        <f t="shared" si="0"/>
        <v>125</v>
      </c>
    </row>
    <row r="18" spans="1:8" x14ac:dyDescent="0.3">
      <c r="A18" s="11">
        <v>1017</v>
      </c>
      <c r="B18" s="10" t="s">
        <v>57</v>
      </c>
      <c r="C18" s="10" t="s">
        <v>23</v>
      </c>
      <c r="D18" s="10" t="s">
        <v>37</v>
      </c>
      <c r="E18" s="11">
        <v>20</v>
      </c>
      <c r="F18" s="11">
        <v>8</v>
      </c>
      <c r="G18" s="11" t="s">
        <v>58</v>
      </c>
      <c r="H18" s="8">
        <f t="shared" si="0"/>
        <v>160</v>
      </c>
    </row>
    <row r="19" spans="1:8" x14ac:dyDescent="0.3">
      <c r="A19" s="11">
        <v>1018</v>
      </c>
      <c r="B19" s="10" t="s">
        <v>59</v>
      </c>
      <c r="C19" s="10" t="s">
        <v>26</v>
      </c>
      <c r="D19" s="10" t="s">
        <v>24</v>
      </c>
      <c r="E19" s="11">
        <v>10</v>
      </c>
      <c r="F19" s="11">
        <v>50</v>
      </c>
      <c r="G19" s="11" t="s">
        <v>60</v>
      </c>
      <c r="H19" s="8">
        <f t="shared" si="0"/>
        <v>500</v>
      </c>
    </row>
    <row r="20" spans="1:8" x14ac:dyDescent="0.3">
      <c r="A20" s="11">
        <v>1019</v>
      </c>
      <c r="B20" s="10" t="s">
        <v>61</v>
      </c>
      <c r="C20" s="10" t="s">
        <v>29</v>
      </c>
      <c r="D20" s="10" t="s">
        <v>27</v>
      </c>
      <c r="E20" s="11">
        <v>15</v>
      </c>
      <c r="F20" s="11">
        <v>10</v>
      </c>
      <c r="G20" s="11" t="s">
        <v>62</v>
      </c>
      <c r="H20" s="8">
        <f t="shared" si="0"/>
        <v>150</v>
      </c>
    </row>
    <row r="21" spans="1:8" x14ac:dyDescent="0.3">
      <c r="A21" s="11">
        <v>1020</v>
      </c>
      <c r="B21" s="10" t="s">
        <v>63</v>
      </c>
      <c r="C21" s="10" t="s">
        <v>32</v>
      </c>
      <c r="D21" s="10" t="s">
        <v>30</v>
      </c>
      <c r="E21" s="11">
        <v>18</v>
      </c>
      <c r="F21" s="11">
        <v>25</v>
      </c>
      <c r="G21" s="12">
        <v>45293</v>
      </c>
      <c r="H21" s="8">
        <f t="shared" si="0"/>
        <v>450</v>
      </c>
    </row>
    <row r="22" spans="1:8" x14ac:dyDescent="0.3">
      <c r="A22" s="11">
        <v>1021</v>
      </c>
      <c r="B22" s="10" t="s">
        <v>64</v>
      </c>
      <c r="C22" s="10" t="s">
        <v>23</v>
      </c>
      <c r="D22" s="10" t="s">
        <v>24</v>
      </c>
      <c r="E22" s="11">
        <v>9</v>
      </c>
      <c r="F22" s="11">
        <v>50</v>
      </c>
      <c r="G22" s="12">
        <v>45324</v>
      </c>
      <c r="H22" s="8">
        <f t="shared" si="0"/>
        <v>450</v>
      </c>
    </row>
    <row r="23" spans="1:8" x14ac:dyDescent="0.3">
      <c r="A23" s="11">
        <v>1022</v>
      </c>
      <c r="B23" s="10" t="s">
        <v>65</v>
      </c>
      <c r="C23" s="10" t="s">
        <v>26</v>
      </c>
      <c r="D23" s="10" t="s">
        <v>34</v>
      </c>
      <c r="E23" s="11">
        <v>35</v>
      </c>
      <c r="F23" s="11">
        <v>5</v>
      </c>
      <c r="G23" s="12">
        <v>45353</v>
      </c>
      <c r="H23" s="8">
        <f t="shared" si="0"/>
        <v>175</v>
      </c>
    </row>
    <row r="24" spans="1:8" x14ac:dyDescent="0.3">
      <c r="A24" s="11">
        <v>1023</v>
      </c>
      <c r="B24" s="10" t="s">
        <v>66</v>
      </c>
      <c r="C24" s="10" t="s">
        <v>29</v>
      </c>
      <c r="D24" s="10" t="s">
        <v>37</v>
      </c>
      <c r="E24" s="11">
        <v>30</v>
      </c>
      <c r="F24" s="11">
        <v>8</v>
      </c>
      <c r="G24" s="12">
        <v>45384</v>
      </c>
      <c r="H24" s="8">
        <f t="shared" si="0"/>
        <v>240</v>
      </c>
    </row>
    <row r="25" spans="1:8" x14ac:dyDescent="0.3">
      <c r="A25" s="11">
        <v>1024</v>
      </c>
      <c r="B25" s="10" t="s">
        <v>67</v>
      </c>
      <c r="C25" s="10" t="s">
        <v>32</v>
      </c>
      <c r="D25" s="10" t="s">
        <v>24</v>
      </c>
      <c r="E25" s="11">
        <v>11</v>
      </c>
      <c r="F25" s="11">
        <v>50</v>
      </c>
      <c r="G25" s="12">
        <v>45445</v>
      </c>
      <c r="H25" s="8">
        <f t="shared" si="0"/>
        <v>550</v>
      </c>
    </row>
    <row r="26" spans="1:8" x14ac:dyDescent="0.3">
      <c r="A26" s="11">
        <v>1025</v>
      </c>
      <c r="B26" s="10" t="s">
        <v>68</v>
      </c>
      <c r="C26" s="10" t="s">
        <v>23</v>
      </c>
      <c r="D26" s="10" t="s">
        <v>27</v>
      </c>
      <c r="E26" s="11">
        <v>14</v>
      </c>
      <c r="F26" s="11">
        <v>10</v>
      </c>
      <c r="G26" s="12">
        <v>45475</v>
      </c>
      <c r="H26" s="8">
        <f t="shared" si="0"/>
        <v>140</v>
      </c>
    </row>
    <row r="27" spans="1:8" x14ac:dyDescent="0.3">
      <c r="A27" s="11">
        <v>1026</v>
      </c>
      <c r="B27" s="10" t="s">
        <v>69</v>
      </c>
      <c r="C27" s="10" t="s">
        <v>26</v>
      </c>
      <c r="D27" s="10" t="s">
        <v>30</v>
      </c>
      <c r="E27" s="11">
        <v>16</v>
      </c>
      <c r="F27" s="11">
        <v>25</v>
      </c>
      <c r="G27" s="12">
        <v>45506</v>
      </c>
      <c r="H27" s="8">
        <f t="shared" si="0"/>
        <v>400</v>
      </c>
    </row>
    <row r="28" spans="1:8" x14ac:dyDescent="0.3">
      <c r="A28" s="11">
        <v>1027</v>
      </c>
      <c r="B28" s="10" t="s">
        <v>70</v>
      </c>
      <c r="C28" s="10" t="s">
        <v>29</v>
      </c>
      <c r="D28" s="10" t="s">
        <v>34</v>
      </c>
      <c r="E28" s="11">
        <v>22</v>
      </c>
      <c r="F28" s="11">
        <v>5</v>
      </c>
      <c r="G28" s="12">
        <v>45537</v>
      </c>
      <c r="H28" s="8">
        <f t="shared" si="0"/>
        <v>110</v>
      </c>
    </row>
    <row r="29" spans="1:8" x14ac:dyDescent="0.3">
      <c r="A29" s="11">
        <v>1028</v>
      </c>
      <c r="B29" s="10" t="s">
        <v>71</v>
      </c>
      <c r="C29" s="10" t="s">
        <v>32</v>
      </c>
      <c r="D29" s="10" t="s">
        <v>37</v>
      </c>
      <c r="E29" s="11">
        <v>27</v>
      </c>
      <c r="F29" s="11">
        <v>8</v>
      </c>
      <c r="G29" s="12">
        <v>45567</v>
      </c>
      <c r="H29" s="8">
        <f t="shared" si="0"/>
        <v>216</v>
      </c>
    </row>
    <row r="30" spans="1:8" x14ac:dyDescent="0.3">
      <c r="A30" s="11">
        <v>1029</v>
      </c>
      <c r="B30" s="10" t="s">
        <v>72</v>
      </c>
      <c r="C30" s="10" t="s">
        <v>23</v>
      </c>
      <c r="D30" s="10" t="s">
        <v>24</v>
      </c>
      <c r="E30" s="11">
        <v>13</v>
      </c>
      <c r="F30" s="11">
        <v>50</v>
      </c>
      <c r="G30" s="12">
        <v>45628</v>
      </c>
      <c r="H30" s="8">
        <f t="shared" si="0"/>
        <v>650</v>
      </c>
    </row>
    <row r="31" spans="1:8" x14ac:dyDescent="0.3">
      <c r="A31" s="11">
        <v>1030</v>
      </c>
      <c r="B31" s="10" t="s">
        <v>73</v>
      </c>
      <c r="C31" s="10" t="s">
        <v>26</v>
      </c>
      <c r="D31" s="10" t="s">
        <v>27</v>
      </c>
      <c r="E31" s="11">
        <v>32</v>
      </c>
      <c r="F31" s="11">
        <v>10</v>
      </c>
      <c r="G31" s="11" t="s">
        <v>74</v>
      </c>
      <c r="H31" s="8">
        <f t="shared" si="0"/>
        <v>320</v>
      </c>
    </row>
    <row r="32" spans="1:8" x14ac:dyDescent="0.3">
      <c r="A32" s="11">
        <v>1031</v>
      </c>
      <c r="B32" s="10" t="s">
        <v>75</v>
      </c>
      <c r="C32" s="10" t="s">
        <v>29</v>
      </c>
      <c r="D32" s="10" t="s">
        <v>30</v>
      </c>
      <c r="E32" s="11">
        <v>10</v>
      </c>
      <c r="F32" s="11">
        <v>25</v>
      </c>
      <c r="G32" s="11" t="s">
        <v>76</v>
      </c>
      <c r="H32" s="8">
        <f t="shared" si="0"/>
        <v>250</v>
      </c>
    </row>
    <row r="33" spans="1:8" x14ac:dyDescent="0.3">
      <c r="A33" s="11">
        <v>1032</v>
      </c>
      <c r="B33" s="10" t="s">
        <v>77</v>
      </c>
      <c r="C33" s="10" t="s">
        <v>32</v>
      </c>
      <c r="D33" s="10" t="s">
        <v>34</v>
      </c>
      <c r="E33" s="11">
        <v>18</v>
      </c>
      <c r="F33" s="11">
        <v>5</v>
      </c>
      <c r="G33" s="11" t="s">
        <v>78</v>
      </c>
      <c r="H33" s="8">
        <f t="shared" si="0"/>
        <v>90</v>
      </c>
    </row>
    <row r="34" spans="1:8" x14ac:dyDescent="0.3">
      <c r="A34" s="11">
        <v>1033</v>
      </c>
      <c r="B34" s="10" t="s">
        <v>79</v>
      </c>
      <c r="C34" s="10" t="s">
        <v>23</v>
      </c>
      <c r="D34" s="10" t="s">
        <v>37</v>
      </c>
      <c r="E34" s="11">
        <v>22</v>
      </c>
      <c r="F34" s="11">
        <v>8</v>
      </c>
      <c r="G34" s="11" t="s">
        <v>80</v>
      </c>
      <c r="H34" s="8">
        <f t="shared" si="0"/>
        <v>176</v>
      </c>
    </row>
    <row r="35" spans="1:8" x14ac:dyDescent="0.3">
      <c r="A35" s="11">
        <v>1034</v>
      </c>
      <c r="B35" s="10" t="s">
        <v>81</v>
      </c>
      <c r="C35" s="10" t="s">
        <v>26</v>
      </c>
      <c r="D35" s="10" t="s">
        <v>24</v>
      </c>
      <c r="E35" s="11">
        <v>17</v>
      </c>
      <c r="F35" s="11">
        <v>50</v>
      </c>
      <c r="G35" s="11" t="s">
        <v>82</v>
      </c>
      <c r="H35" s="8">
        <f t="shared" si="0"/>
        <v>850</v>
      </c>
    </row>
    <row r="36" spans="1:8" x14ac:dyDescent="0.3">
      <c r="A36" s="11">
        <v>1035</v>
      </c>
      <c r="B36" s="10" t="s">
        <v>83</v>
      </c>
      <c r="C36" s="10" t="s">
        <v>29</v>
      </c>
      <c r="D36" s="10" t="s">
        <v>27</v>
      </c>
      <c r="E36" s="11">
        <v>19</v>
      </c>
      <c r="F36" s="11">
        <v>10</v>
      </c>
      <c r="G36" s="11" t="s">
        <v>84</v>
      </c>
      <c r="H36" s="8">
        <f t="shared" si="0"/>
        <v>190</v>
      </c>
    </row>
    <row r="37" spans="1:8" x14ac:dyDescent="0.3">
      <c r="A37" s="11">
        <v>1036</v>
      </c>
      <c r="B37" s="10" t="s">
        <v>85</v>
      </c>
      <c r="C37" s="10" t="s">
        <v>32</v>
      </c>
      <c r="D37" s="10" t="s">
        <v>30</v>
      </c>
      <c r="E37" s="11">
        <v>15</v>
      </c>
      <c r="F37" s="11">
        <v>25</v>
      </c>
      <c r="G37" s="11" t="s">
        <v>86</v>
      </c>
      <c r="H37" s="8">
        <f t="shared" si="0"/>
        <v>375</v>
      </c>
    </row>
    <row r="38" spans="1:8" x14ac:dyDescent="0.3">
      <c r="A38" s="11">
        <v>1037</v>
      </c>
      <c r="B38" s="10" t="s">
        <v>87</v>
      </c>
      <c r="C38" s="10" t="s">
        <v>23</v>
      </c>
      <c r="D38" s="10" t="s">
        <v>34</v>
      </c>
      <c r="E38" s="11">
        <v>28</v>
      </c>
      <c r="F38" s="11">
        <v>5</v>
      </c>
      <c r="G38" s="11" t="s">
        <v>88</v>
      </c>
      <c r="H38" s="8">
        <f t="shared" si="0"/>
        <v>140</v>
      </c>
    </row>
    <row r="39" spans="1:8" x14ac:dyDescent="0.3">
      <c r="A39" s="11">
        <v>1038</v>
      </c>
      <c r="B39" s="10" t="s">
        <v>89</v>
      </c>
      <c r="C39" s="10" t="s">
        <v>26</v>
      </c>
      <c r="D39" s="10" t="s">
        <v>37</v>
      </c>
      <c r="E39" s="11">
        <v>24</v>
      </c>
      <c r="F39" s="11">
        <v>8</v>
      </c>
      <c r="G39" s="11" t="s">
        <v>90</v>
      </c>
      <c r="H39" s="8">
        <f t="shared" si="0"/>
        <v>192</v>
      </c>
    </row>
    <row r="40" spans="1:8" x14ac:dyDescent="0.3">
      <c r="A40" s="11">
        <v>1039</v>
      </c>
      <c r="B40" s="10" t="s">
        <v>91</v>
      </c>
      <c r="C40" s="10" t="s">
        <v>29</v>
      </c>
      <c r="D40" s="10" t="s">
        <v>24</v>
      </c>
      <c r="E40" s="11">
        <v>16</v>
      </c>
      <c r="F40" s="11">
        <v>50</v>
      </c>
      <c r="G40" s="11" t="s">
        <v>92</v>
      </c>
      <c r="H40" s="8">
        <f t="shared" si="0"/>
        <v>800</v>
      </c>
    </row>
    <row r="41" spans="1:8" x14ac:dyDescent="0.3">
      <c r="A41" s="11">
        <v>1040</v>
      </c>
      <c r="B41" s="10" t="s">
        <v>93</v>
      </c>
      <c r="C41" s="10" t="s">
        <v>32</v>
      </c>
      <c r="D41" s="10" t="s">
        <v>27</v>
      </c>
      <c r="E41" s="11">
        <v>27</v>
      </c>
      <c r="F41" s="11">
        <v>10</v>
      </c>
      <c r="G41" s="11" t="s">
        <v>94</v>
      </c>
      <c r="H41" s="8">
        <f t="shared" si="0"/>
        <v>270</v>
      </c>
    </row>
    <row r="42" spans="1:8" x14ac:dyDescent="0.3">
      <c r="A42" s="11">
        <v>1041</v>
      </c>
      <c r="B42" s="10" t="s">
        <v>95</v>
      </c>
      <c r="C42" s="10" t="s">
        <v>23</v>
      </c>
      <c r="D42" s="10" t="s">
        <v>30</v>
      </c>
      <c r="E42" s="11">
        <v>21</v>
      </c>
      <c r="F42" s="11">
        <v>25</v>
      </c>
      <c r="G42" s="11" t="s">
        <v>96</v>
      </c>
      <c r="H42" s="8">
        <f t="shared" si="0"/>
        <v>525</v>
      </c>
    </row>
    <row r="43" spans="1:8" x14ac:dyDescent="0.3">
      <c r="A43" s="11">
        <v>1042</v>
      </c>
      <c r="B43" s="10" t="s">
        <v>97</v>
      </c>
      <c r="C43" s="10" t="s">
        <v>26</v>
      </c>
      <c r="D43" s="10" t="s">
        <v>34</v>
      </c>
      <c r="E43" s="11">
        <v>30</v>
      </c>
      <c r="F43" s="11">
        <v>5</v>
      </c>
      <c r="G43" s="11" t="s">
        <v>98</v>
      </c>
      <c r="H43" s="8">
        <f t="shared" si="0"/>
        <v>150</v>
      </c>
    </row>
    <row r="44" spans="1:8" x14ac:dyDescent="0.3">
      <c r="A44" s="11">
        <v>1043</v>
      </c>
      <c r="B44" s="10" t="s">
        <v>99</v>
      </c>
      <c r="C44" s="10" t="s">
        <v>29</v>
      </c>
      <c r="D44" s="10" t="s">
        <v>37</v>
      </c>
      <c r="E44" s="11">
        <v>26</v>
      </c>
      <c r="F44" s="11">
        <v>8</v>
      </c>
      <c r="G44" s="12">
        <v>45294</v>
      </c>
      <c r="H44" s="8">
        <f t="shared" si="0"/>
        <v>208</v>
      </c>
    </row>
    <row r="45" spans="1:8" x14ac:dyDescent="0.3">
      <c r="A45" s="11">
        <v>1044</v>
      </c>
      <c r="B45" s="10" t="s">
        <v>100</v>
      </c>
      <c r="C45" s="10" t="s">
        <v>32</v>
      </c>
      <c r="D45" s="10" t="s">
        <v>24</v>
      </c>
      <c r="E45" s="11">
        <v>14</v>
      </c>
      <c r="F45" s="11">
        <v>50</v>
      </c>
      <c r="G45" s="12">
        <v>45325</v>
      </c>
      <c r="H45" s="8">
        <f t="shared" si="0"/>
        <v>700</v>
      </c>
    </row>
    <row r="46" spans="1:8" x14ac:dyDescent="0.3">
      <c r="A46" s="11">
        <v>1045</v>
      </c>
      <c r="B46" s="10" t="s">
        <v>101</v>
      </c>
      <c r="C46" s="10" t="s">
        <v>23</v>
      </c>
      <c r="D46" s="10" t="s">
        <v>27</v>
      </c>
      <c r="E46" s="11">
        <v>20</v>
      </c>
      <c r="F46" s="11">
        <v>10</v>
      </c>
      <c r="G46" s="12">
        <v>45354</v>
      </c>
      <c r="H46" s="8">
        <f t="shared" si="0"/>
        <v>200</v>
      </c>
    </row>
    <row r="47" spans="1:8" x14ac:dyDescent="0.3">
      <c r="A47" s="11">
        <v>1046</v>
      </c>
      <c r="B47" s="10" t="s">
        <v>102</v>
      </c>
      <c r="C47" s="10" t="s">
        <v>26</v>
      </c>
      <c r="D47" s="10" t="s">
        <v>30</v>
      </c>
      <c r="E47" s="11">
        <v>17</v>
      </c>
      <c r="F47" s="11">
        <v>25</v>
      </c>
      <c r="G47" s="12">
        <v>45385</v>
      </c>
      <c r="H47" s="8">
        <f t="shared" si="0"/>
        <v>425</v>
      </c>
    </row>
    <row r="48" spans="1:8" x14ac:dyDescent="0.3">
      <c r="A48" s="11">
        <v>1047</v>
      </c>
      <c r="B48" s="10" t="s">
        <v>103</v>
      </c>
      <c r="C48" s="10" t="s">
        <v>29</v>
      </c>
      <c r="D48" s="10" t="s">
        <v>34</v>
      </c>
      <c r="E48" s="11">
        <v>19</v>
      </c>
      <c r="F48" s="11">
        <v>5</v>
      </c>
      <c r="G48" s="12">
        <v>45415</v>
      </c>
      <c r="H48" s="8">
        <f t="shared" si="0"/>
        <v>95</v>
      </c>
    </row>
    <row r="49" spans="1:8" x14ac:dyDescent="0.3">
      <c r="A49" s="11">
        <v>1048</v>
      </c>
      <c r="B49" s="10" t="s">
        <v>104</v>
      </c>
      <c r="C49" s="10" t="s">
        <v>32</v>
      </c>
      <c r="D49" s="10" t="s">
        <v>37</v>
      </c>
      <c r="E49" s="11">
        <v>32</v>
      </c>
      <c r="F49" s="11">
        <v>8</v>
      </c>
      <c r="G49" s="12">
        <v>45446</v>
      </c>
      <c r="H49" s="8">
        <f t="shared" si="0"/>
        <v>256</v>
      </c>
    </row>
    <row r="50" spans="1:8" x14ac:dyDescent="0.3">
      <c r="A50" s="11">
        <v>1049</v>
      </c>
      <c r="B50" s="10" t="s">
        <v>105</v>
      </c>
      <c r="C50" s="10" t="s">
        <v>23</v>
      </c>
      <c r="D50" s="10" t="s">
        <v>24</v>
      </c>
      <c r="E50" s="11">
        <v>12</v>
      </c>
      <c r="F50" s="11">
        <v>50</v>
      </c>
      <c r="G50" s="12">
        <v>45476</v>
      </c>
      <c r="H50" s="8">
        <f t="shared" si="0"/>
        <v>600</v>
      </c>
    </row>
    <row r="51" spans="1:8" x14ac:dyDescent="0.3">
      <c r="A51" s="11">
        <v>1050</v>
      </c>
      <c r="B51" s="10" t="s">
        <v>106</v>
      </c>
      <c r="C51" s="10" t="s">
        <v>26</v>
      </c>
      <c r="D51" s="10" t="s">
        <v>27</v>
      </c>
      <c r="E51" s="11">
        <v>25</v>
      </c>
      <c r="F51" s="11">
        <v>10</v>
      </c>
      <c r="G51" s="12">
        <v>45507</v>
      </c>
      <c r="H51" s="8">
        <f t="shared" si="0"/>
        <v>250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AC79-FC63-4B4A-8075-1E0EF7C405E5}">
  <dimension ref="A1:Q51"/>
  <sheetViews>
    <sheetView tabSelected="1" workbookViewId="0">
      <selection activeCell="M3" sqref="M3:Q3"/>
    </sheetView>
  </sheetViews>
  <sheetFormatPr defaultRowHeight="14.4" x14ac:dyDescent="0.3"/>
  <cols>
    <col min="2" max="2" width="14.21875" bestFit="1" customWidth="1"/>
    <col min="5" max="5" width="8.33203125" bestFit="1" customWidth="1"/>
    <col min="6" max="6" width="8.6640625" bestFit="1" customWidth="1"/>
    <col min="7" max="7" width="10.33203125" bestFit="1" customWidth="1"/>
    <col min="8" max="8" width="12" bestFit="1" customWidth="1"/>
  </cols>
  <sheetData>
    <row r="1" spans="1:17" x14ac:dyDescent="0.3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13" t="s">
        <v>109</v>
      </c>
    </row>
    <row r="2" spans="1:17" x14ac:dyDescent="0.3">
      <c r="A2" s="10">
        <v>1001</v>
      </c>
      <c r="B2" s="10" t="s">
        <v>22</v>
      </c>
      <c r="C2" s="10" t="s">
        <v>23</v>
      </c>
      <c r="D2" s="10" t="s">
        <v>24</v>
      </c>
      <c r="E2" s="11">
        <v>10</v>
      </c>
      <c r="F2" s="11">
        <v>50</v>
      </c>
      <c r="G2" s="12">
        <v>45413</v>
      </c>
      <c r="H2" s="8">
        <f>PRODUCT(E2,F2)</f>
        <v>500</v>
      </c>
    </row>
    <row r="3" spans="1:17" x14ac:dyDescent="0.3">
      <c r="A3" s="11">
        <v>1002</v>
      </c>
      <c r="B3" s="10" t="s">
        <v>25</v>
      </c>
      <c r="C3" s="10" t="s">
        <v>26</v>
      </c>
      <c r="D3" s="10" t="s">
        <v>27</v>
      </c>
      <c r="E3" s="11">
        <v>20</v>
      </c>
      <c r="F3" s="11">
        <v>10</v>
      </c>
      <c r="G3" s="12">
        <v>45444</v>
      </c>
      <c r="H3" s="8">
        <f t="shared" ref="H3:H51" si="0">PRODUCT(E3,F3)</f>
        <v>200</v>
      </c>
      <c r="M3" s="25" t="s">
        <v>112</v>
      </c>
      <c r="N3" s="24"/>
      <c r="O3" s="24"/>
      <c r="P3" s="24"/>
      <c r="Q3" s="24"/>
    </row>
    <row r="4" spans="1:17" x14ac:dyDescent="0.3">
      <c r="A4" s="11">
        <v>1003</v>
      </c>
      <c r="B4" s="10" t="s">
        <v>28</v>
      </c>
      <c r="C4" s="10" t="s">
        <v>29</v>
      </c>
      <c r="D4" s="10" t="s">
        <v>30</v>
      </c>
      <c r="E4" s="11">
        <v>15</v>
      </c>
      <c r="F4" s="11">
        <v>25</v>
      </c>
      <c r="G4" s="12">
        <v>45474</v>
      </c>
      <c r="H4" s="8">
        <f t="shared" si="0"/>
        <v>375</v>
      </c>
    </row>
    <row r="5" spans="1:17" x14ac:dyDescent="0.3">
      <c r="A5" s="11">
        <v>1004</v>
      </c>
      <c r="B5" s="10" t="s">
        <v>31</v>
      </c>
      <c r="C5" s="10" t="s">
        <v>32</v>
      </c>
      <c r="D5" s="10" t="s">
        <v>24</v>
      </c>
      <c r="E5" s="11">
        <v>5</v>
      </c>
      <c r="F5" s="11">
        <v>50</v>
      </c>
      <c r="G5" s="12">
        <v>45505</v>
      </c>
      <c r="H5" s="8">
        <f t="shared" si="0"/>
        <v>250</v>
      </c>
    </row>
    <row r="6" spans="1:17" x14ac:dyDescent="0.3">
      <c r="A6" s="11">
        <v>1005</v>
      </c>
      <c r="B6" s="10" t="s">
        <v>33</v>
      </c>
      <c r="C6" s="10" t="s">
        <v>23</v>
      </c>
      <c r="D6" s="10" t="s">
        <v>34</v>
      </c>
      <c r="E6" s="11">
        <v>30</v>
      </c>
      <c r="F6" s="11">
        <v>5</v>
      </c>
      <c r="G6" s="12">
        <v>45566</v>
      </c>
      <c r="H6" s="8">
        <f t="shared" si="0"/>
        <v>150</v>
      </c>
    </row>
    <row r="7" spans="1:17" x14ac:dyDescent="0.3">
      <c r="A7" s="11">
        <v>1006</v>
      </c>
      <c r="B7" s="10" t="s">
        <v>35</v>
      </c>
      <c r="C7" s="10" t="s">
        <v>26</v>
      </c>
      <c r="D7" s="10" t="s">
        <v>24</v>
      </c>
      <c r="E7" s="11">
        <v>12</v>
      </c>
      <c r="F7" s="11">
        <v>50</v>
      </c>
      <c r="G7" s="12">
        <v>45597</v>
      </c>
      <c r="H7" s="8">
        <f t="shared" si="0"/>
        <v>600</v>
      </c>
    </row>
    <row r="8" spans="1:17" x14ac:dyDescent="0.3">
      <c r="A8" s="11">
        <v>1007</v>
      </c>
      <c r="B8" s="10" t="s">
        <v>36</v>
      </c>
      <c r="C8" s="10" t="s">
        <v>29</v>
      </c>
      <c r="D8" s="10" t="s">
        <v>37</v>
      </c>
      <c r="E8" s="11">
        <v>25</v>
      </c>
      <c r="F8" s="11">
        <v>8</v>
      </c>
      <c r="G8" s="11" t="s">
        <v>38</v>
      </c>
      <c r="H8" s="8">
        <f t="shared" si="0"/>
        <v>200</v>
      </c>
    </row>
    <row r="9" spans="1:17" x14ac:dyDescent="0.3">
      <c r="A9" s="11">
        <v>1008</v>
      </c>
      <c r="B9" s="10" t="s">
        <v>39</v>
      </c>
      <c r="C9" s="10" t="s">
        <v>32</v>
      </c>
      <c r="D9" s="10" t="s">
        <v>27</v>
      </c>
      <c r="E9" s="11">
        <v>18</v>
      </c>
      <c r="F9" s="11">
        <v>10</v>
      </c>
      <c r="G9" s="11" t="s">
        <v>40</v>
      </c>
      <c r="H9" s="8">
        <f t="shared" si="0"/>
        <v>180</v>
      </c>
    </row>
    <row r="10" spans="1:17" x14ac:dyDescent="0.3">
      <c r="A10" s="11">
        <v>1009</v>
      </c>
      <c r="B10" s="10" t="s">
        <v>41</v>
      </c>
      <c r="C10" s="10" t="s">
        <v>23</v>
      </c>
      <c r="D10" s="10" t="s">
        <v>30</v>
      </c>
      <c r="E10" s="11">
        <v>22</v>
      </c>
      <c r="F10" s="11">
        <v>25</v>
      </c>
      <c r="G10" s="11" t="s">
        <v>42</v>
      </c>
      <c r="H10" s="8">
        <f t="shared" si="0"/>
        <v>550</v>
      </c>
    </row>
    <row r="11" spans="1:17" x14ac:dyDescent="0.3">
      <c r="A11" s="11">
        <v>1010</v>
      </c>
      <c r="B11" s="10" t="s">
        <v>43</v>
      </c>
      <c r="C11" s="10" t="s">
        <v>26</v>
      </c>
      <c r="D11" s="10" t="s">
        <v>24</v>
      </c>
      <c r="E11" s="11">
        <v>8</v>
      </c>
      <c r="F11" s="11">
        <v>50</v>
      </c>
      <c r="G11" s="11" t="s">
        <v>44</v>
      </c>
      <c r="H11" s="8">
        <f t="shared" si="0"/>
        <v>400</v>
      </c>
    </row>
    <row r="12" spans="1:17" x14ac:dyDescent="0.3">
      <c r="A12" s="11">
        <v>1011</v>
      </c>
      <c r="B12" s="10" t="s">
        <v>45</v>
      </c>
      <c r="C12" s="10" t="s">
        <v>29</v>
      </c>
      <c r="D12" s="10" t="s">
        <v>34</v>
      </c>
      <c r="E12" s="11">
        <v>40</v>
      </c>
      <c r="F12" s="11">
        <v>5</v>
      </c>
      <c r="G12" s="11" t="s">
        <v>46</v>
      </c>
      <c r="H12" s="8">
        <f t="shared" si="0"/>
        <v>200</v>
      </c>
    </row>
    <row r="13" spans="1:17" x14ac:dyDescent="0.3">
      <c r="A13" s="11">
        <v>1012</v>
      </c>
      <c r="B13" s="10" t="s">
        <v>47</v>
      </c>
      <c r="C13" s="10" t="s">
        <v>32</v>
      </c>
      <c r="D13" s="10" t="s">
        <v>37</v>
      </c>
      <c r="E13" s="11">
        <v>35</v>
      </c>
      <c r="F13" s="11">
        <v>8</v>
      </c>
      <c r="G13" s="11" t="s">
        <v>48</v>
      </c>
      <c r="H13" s="8">
        <f t="shared" si="0"/>
        <v>280</v>
      </c>
    </row>
    <row r="14" spans="1:17" x14ac:dyDescent="0.3">
      <c r="A14" s="11">
        <v>1013</v>
      </c>
      <c r="B14" s="10" t="s">
        <v>49</v>
      </c>
      <c r="C14" s="10" t="s">
        <v>23</v>
      </c>
      <c r="D14" s="10" t="s">
        <v>24</v>
      </c>
      <c r="E14" s="11">
        <v>14</v>
      </c>
      <c r="F14" s="11">
        <v>50</v>
      </c>
      <c r="G14" s="11" t="s">
        <v>50</v>
      </c>
      <c r="H14" s="8">
        <f t="shared" si="0"/>
        <v>700</v>
      </c>
    </row>
    <row r="15" spans="1:17" x14ac:dyDescent="0.3">
      <c r="A15" s="11">
        <v>1014</v>
      </c>
      <c r="B15" s="10" t="s">
        <v>51</v>
      </c>
      <c r="C15" s="10" t="s">
        <v>26</v>
      </c>
      <c r="D15" s="10" t="s">
        <v>27</v>
      </c>
      <c r="E15" s="11">
        <v>28</v>
      </c>
      <c r="F15" s="11">
        <v>10</v>
      </c>
      <c r="G15" s="11" t="s">
        <v>52</v>
      </c>
      <c r="H15" s="8">
        <f t="shared" si="0"/>
        <v>280</v>
      </c>
    </row>
    <row r="16" spans="1:17" x14ac:dyDescent="0.3">
      <c r="A16" s="11">
        <v>1015</v>
      </c>
      <c r="B16" s="10" t="s">
        <v>53</v>
      </c>
      <c r="C16" s="10" t="s">
        <v>29</v>
      </c>
      <c r="D16" s="10" t="s">
        <v>30</v>
      </c>
      <c r="E16" s="11">
        <v>12</v>
      </c>
      <c r="F16" s="11">
        <v>25</v>
      </c>
      <c r="G16" s="11" t="s">
        <v>54</v>
      </c>
      <c r="H16" s="8">
        <f t="shared" si="0"/>
        <v>300</v>
      </c>
    </row>
    <row r="17" spans="1:8" x14ac:dyDescent="0.3">
      <c r="A17" s="11">
        <v>1016</v>
      </c>
      <c r="B17" s="10" t="s">
        <v>55</v>
      </c>
      <c r="C17" s="10" t="s">
        <v>32</v>
      </c>
      <c r="D17" s="10" t="s">
        <v>34</v>
      </c>
      <c r="E17" s="11">
        <v>25</v>
      </c>
      <c r="F17" s="11">
        <v>5</v>
      </c>
      <c r="G17" s="11" t="s">
        <v>56</v>
      </c>
      <c r="H17" s="8">
        <f t="shared" si="0"/>
        <v>125</v>
      </c>
    </row>
    <row r="18" spans="1:8" x14ac:dyDescent="0.3">
      <c r="A18" s="11">
        <v>1017</v>
      </c>
      <c r="B18" s="10" t="s">
        <v>57</v>
      </c>
      <c r="C18" s="10" t="s">
        <v>23</v>
      </c>
      <c r="D18" s="10" t="s">
        <v>37</v>
      </c>
      <c r="E18" s="11">
        <v>20</v>
      </c>
      <c r="F18" s="11">
        <v>8</v>
      </c>
      <c r="G18" s="11" t="s">
        <v>58</v>
      </c>
      <c r="H18" s="8">
        <f t="shared" si="0"/>
        <v>160</v>
      </c>
    </row>
    <row r="19" spans="1:8" x14ac:dyDescent="0.3">
      <c r="A19" s="11">
        <v>1018</v>
      </c>
      <c r="B19" s="10" t="s">
        <v>59</v>
      </c>
      <c r="C19" s="10" t="s">
        <v>26</v>
      </c>
      <c r="D19" s="10" t="s">
        <v>24</v>
      </c>
      <c r="E19" s="11">
        <v>10</v>
      </c>
      <c r="F19" s="11">
        <v>50</v>
      </c>
      <c r="G19" s="11" t="s">
        <v>60</v>
      </c>
      <c r="H19" s="8">
        <f t="shared" si="0"/>
        <v>500</v>
      </c>
    </row>
    <row r="20" spans="1:8" x14ac:dyDescent="0.3">
      <c r="A20" s="11">
        <v>1019</v>
      </c>
      <c r="B20" s="10" t="s">
        <v>61</v>
      </c>
      <c r="C20" s="10" t="s">
        <v>29</v>
      </c>
      <c r="D20" s="10" t="s">
        <v>27</v>
      </c>
      <c r="E20" s="11">
        <v>15</v>
      </c>
      <c r="F20" s="11">
        <v>10</v>
      </c>
      <c r="G20" s="11" t="s">
        <v>62</v>
      </c>
      <c r="H20" s="8">
        <f t="shared" si="0"/>
        <v>150</v>
      </c>
    </row>
    <row r="21" spans="1:8" x14ac:dyDescent="0.3">
      <c r="A21" s="11">
        <v>1020</v>
      </c>
      <c r="B21" s="10" t="s">
        <v>63</v>
      </c>
      <c r="C21" s="10" t="s">
        <v>32</v>
      </c>
      <c r="D21" s="10" t="s">
        <v>30</v>
      </c>
      <c r="E21" s="11">
        <v>18</v>
      </c>
      <c r="F21" s="11">
        <v>25</v>
      </c>
      <c r="G21" s="12">
        <v>45293</v>
      </c>
      <c r="H21" s="8">
        <f t="shared" si="0"/>
        <v>450</v>
      </c>
    </row>
    <row r="22" spans="1:8" x14ac:dyDescent="0.3">
      <c r="A22" s="11">
        <v>1021</v>
      </c>
      <c r="B22" s="10" t="s">
        <v>64</v>
      </c>
      <c r="C22" s="10" t="s">
        <v>23</v>
      </c>
      <c r="D22" s="10" t="s">
        <v>24</v>
      </c>
      <c r="E22" s="11">
        <v>9</v>
      </c>
      <c r="F22" s="11">
        <v>50</v>
      </c>
      <c r="G22" s="12">
        <v>45324</v>
      </c>
      <c r="H22" s="8">
        <f t="shared" si="0"/>
        <v>450</v>
      </c>
    </row>
    <row r="23" spans="1:8" x14ac:dyDescent="0.3">
      <c r="A23" s="11">
        <v>1022</v>
      </c>
      <c r="B23" s="10" t="s">
        <v>65</v>
      </c>
      <c r="C23" s="10" t="s">
        <v>26</v>
      </c>
      <c r="D23" s="10" t="s">
        <v>34</v>
      </c>
      <c r="E23" s="11">
        <v>35</v>
      </c>
      <c r="F23" s="11">
        <v>5</v>
      </c>
      <c r="G23" s="12">
        <v>45353</v>
      </c>
      <c r="H23" s="8">
        <f t="shared" si="0"/>
        <v>175</v>
      </c>
    </row>
    <row r="24" spans="1:8" x14ac:dyDescent="0.3">
      <c r="A24" s="11">
        <v>1023</v>
      </c>
      <c r="B24" s="10" t="s">
        <v>66</v>
      </c>
      <c r="C24" s="10" t="s">
        <v>29</v>
      </c>
      <c r="D24" s="10" t="s">
        <v>37</v>
      </c>
      <c r="E24" s="11">
        <v>30</v>
      </c>
      <c r="F24" s="11">
        <v>8</v>
      </c>
      <c r="G24" s="12">
        <v>45384</v>
      </c>
      <c r="H24" s="8">
        <f t="shared" si="0"/>
        <v>240</v>
      </c>
    </row>
    <row r="25" spans="1:8" x14ac:dyDescent="0.3">
      <c r="A25" s="11">
        <v>1024</v>
      </c>
      <c r="B25" s="10" t="s">
        <v>67</v>
      </c>
      <c r="C25" s="10" t="s">
        <v>32</v>
      </c>
      <c r="D25" s="10" t="s">
        <v>24</v>
      </c>
      <c r="E25" s="11">
        <v>11</v>
      </c>
      <c r="F25" s="11">
        <v>50</v>
      </c>
      <c r="G25" s="12">
        <v>45445</v>
      </c>
      <c r="H25" s="8">
        <f t="shared" si="0"/>
        <v>550</v>
      </c>
    </row>
    <row r="26" spans="1:8" x14ac:dyDescent="0.3">
      <c r="A26" s="11">
        <v>1025</v>
      </c>
      <c r="B26" s="10" t="s">
        <v>68</v>
      </c>
      <c r="C26" s="10" t="s">
        <v>23</v>
      </c>
      <c r="D26" s="10" t="s">
        <v>27</v>
      </c>
      <c r="E26" s="11">
        <v>14</v>
      </c>
      <c r="F26" s="11">
        <v>10</v>
      </c>
      <c r="G26" s="12">
        <v>45475</v>
      </c>
      <c r="H26" s="8">
        <f t="shared" si="0"/>
        <v>140</v>
      </c>
    </row>
    <row r="27" spans="1:8" x14ac:dyDescent="0.3">
      <c r="A27" s="11">
        <v>1026</v>
      </c>
      <c r="B27" s="10" t="s">
        <v>69</v>
      </c>
      <c r="C27" s="10" t="s">
        <v>26</v>
      </c>
      <c r="D27" s="10" t="s">
        <v>30</v>
      </c>
      <c r="E27" s="11">
        <v>16</v>
      </c>
      <c r="F27" s="11">
        <v>25</v>
      </c>
      <c r="G27" s="12">
        <v>45506</v>
      </c>
      <c r="H27" s="8">
        <f t="shared" si="0"/>
        <v>400</v>
      </c>
    </row>
    <row r="28" spans="1:8" x14ac:dyDescent="0.3">
      <c r="A28" s="11">
        <v>1027</v>
      </c>
      <c r="B28" s="10" t="s">
        <v>70</v>
      </c>
      <c r="C28" s="10" t="s">
        <v>29</v>
      </c>
      <c r="D28" s="10" t="s">
        <v>34</v>
      </c>
      <c r="E28" s="11">
        <v>22</v>
      </c>
      <c r="F28" s="11">
        <v>5</v>
      </c>
      <c r="G28" s="12">
        <v>45537</v>
      </c>
      <c r="H28" s="8">
        <f t="shared" si="0"/>
        <v>110</v>
      </c>
    </row>
    <row r="29" spans="1:8" x14ac:dyDescent="0.3">
      <c r="A29" s="11">
        <v>1028</v>
      </c>
      <c r="B29" s="10" t="s">
        <v>71</v>
      </c>
      <c r="C29" s="10" t="s">
        <v>32</v>
      </c>
      <c r="D29" s="10" t="s">
        <v>37</v>
      </c>
      <c r="E29" s="11">
        <v>27</v>
      </c>
      <c r="F29" s="11">
        <v>8</v>
      </c>
      <c r="G29" s="12">
        <v>45567</v>
      </c>
      <c r="H29" s="8">
        <f t="shared" si="0"/>
        <v>216</v>
      </c>
    </row>
    <row r="30" spans="1:8" x14ac:dyDescent="0.3">
      <c r="A30" s="11">
        <v>1029</v>
      </c>
      <c r="B30" s="10" t="s">
        <v>72</v>
      </c>
      <c r="C30" s="10" t="s">
        <v>23</v>
      </c>
      <c r="D30" s="10" t="s">
        <v>24</v>
      </c>
      <c r="E30" s="11">
        <v>13</v>
      </c>
      <c r="F30" s="11">
        <v>50</v>
      </c>
      <c r="G30" s="12">
        <v>45628</v>
      </c>
      <c r="H30" s="8">
        <f t="shared" si="0"/>
        <v>650</v>
      </c>
    </row>
    <row r="31" spans="1:8" x14ac:dyDescent="0.3">
      <c r="A31" s="11">
        <v>1030</v>
      </c>
      <c r="B31" s="10" t="s">
        <v>73</v>
      </c>
      <c r="C31" s="10" t="s">
        <v>26</v>
      </c>
      <c r="D31" s="10" t="s">
        <v>27</v>
      </c>
      <c r="E31" s="11">
        <v>32</v>
      </c>
      <c r="F31" s="11">
        <v>10</v>
      </c>
      <c r="G31" s="11" t="s">
        <v>74</v>
      </c>
      <c r="H31" s="8">
        <f t="shared" si="0"/>
        <v>320</v>
      </c>
    </row>
    <row r="32" spans="1:8" x14ac:dyDescent="0.3">
      <c r="A32" s="11">
        <v>1031</v>
      </c>
      <c r="B32" s="10" t="s">
        <v>75</v>
      </c>
      <c r="C32" s="10" t="s">
        <v>29</v>
      </c>
      <c r="D32" s="10" t="s">
        <v>30</v>
      </c>
      <c r="E32" s="11">
        <v>10</v>
      </c>
      <c r="F32" s="11">
        <v>25</v>
      </c>
      <c r="G32" s="11" t="s">
        <v>76</v>
      </c>
      <c r="H32" s="8">
        <f t="shared" si="0"/>
        <v>250</v>
      </c>
    </row>
    <row r="33" spans="1:8" x14ac:dyDescent="0.3">
      <c r="A33" s="11">
        <v>1032</v>
      </c>
      <c r="B33" s="10" t="s">
        <v>77</v>
      </c>
      <c r="C33" s="10" t="s">
        <v>32</v>
      </c>
      <c r="D33" s="10" t="s">
        <v>34</v>
      </c>
      <c r="E33" s="11">
        <v>18</v>
      </c>
      <c r="F33" s="11">
        <v>5</v>
      </c>
      <c r="G33" s="11" t="s">
        <v>78</v>
      </c>
      <c r="H33" s="8">
        <f t="shared" si="0"/>
        <v>90</v>
      </c>
    </row>
    <row r="34" spans="1:8" x14ac:dyDescent="0.3">
      <c r="A34" s="11">
        <v>1033</v>
      </c>
      <c r="B34" s="10" t="s">
        <v>79</v>
      </c>
      <c r="C34" s="10" t="s">
        <v>23</v>
      </c>
      <c r="D34" s="10" t="s">
        <v>37</v>
      </c>
      <c r="E34" s="11">
        <v>22</v>
      </c>
      <c r="F34" s="11">
        <v>8</v>
      </c>
      <c r="G34" s="11" t="s">
        <v>80</v>
      </c>
      <c r="H34" s="8">
        <f t="shared" si="0"/>
        <v>176</v>
      </c>
    </row>
    <row r="35" spans="1:8" x14ac:dyDescent="0.3">
      <c r="A35" s="11">
        <v>1034</v>
      </c>
      <c r="B35" s="10" t="s">
        <v>81</v>
      </c>
      <c r="C35" s="10" t="s">
        <v>26</v>
      </c>
      <c r="D35" s="10" t="s">
        <v>24</v>
      </c>
      <c r="E35" s="11">
        <v>17</v>
      </c>
      <c r="F35" s="11">
        <v>50</v>
      </c>
      <c r="G35" s="11" t="s">
        <v>82</v>
      </c>
      <c r="H35" s="8">
        <f t="shared" si="0"/>
        <v>850</v>
      </c>
    </row>
    <row r="36" spans="1:8" x14ac:dyDescent="0.3">
      <c r="A36" s="11">
        <v>1035</v>
      </c>
      <c r="B36" s="10" t="s">
        <v>83</v>
      </c>
      <c r="C36" s="10" t="s">
        <v>29</v>
      </c>
      <c r="D36" s="10" t="s">
        <v>27</v>
      </c>
      <c r="E36" s="11">
        <v>19</v>
      </c>
      <c r="F36" s="11">
        <v>10</v>
      </c>
      <c r="G36" s="11" t="s">
        <v>84</v>
      </c>
      <c r="H36" s="8">
        <f t="shared" si="0"/>
        <v>190</v>
      </c>
    </row>
    <row r="37" spans="1:8" x14ac:dyDescent="0.3">
      <c r="A37" s="11">
        <v>1036</v>
      </c>
      <c r="B37" s="10" t="s">
        <v>85</v>
      </c>
      <c r="C37" s="10" t="s">
        <v>32</v>
      </c>
      <c r="D37" s="10" t="s">
        <v>30</v>
      </c>
      <c r="E37" s="11">
        <v>15</v>
      </c>
      <c r="F37" s="11">
        <v>25</v>
      </c>
      <c r="G37" s="11" t="s">
        <v>86</v>
      </c>
      <c r="H37" s="8">
        <f t="shared" si="0"/>
        <v>375</v>
      </c>
    </row>
    <row r="38" spans="1:8" x14ac:dyDescent="0.3">
      <c r="A38" s="11">
        <v>1037</v>
      </c>
      <c r="B38" s="10" t="s">
        <v>87</v>
      </c>
      <c r="C38" s="10" t="s">
        <v>23</v>
      </c>
      <c r="D38" s="10" t="s">
        <v>34</v>
      </c>
      <c r="E38" s="11">
        <v>28</v>
      </c>
      <c r="F38" s="11">
        <v>5</v>
      </c>
      <c r="G38" s="11" t="s">
        <v>88</v>
      </c>
      <c r="H38" s="8">
        <f t="shared" si="0"/>
        <v>140</v>
      </c>
    </row>
    <row r="39" spans="1:8" x14ac:dyDescent="0.3">
      <c r="A39" s="11">
        <v>1038</v>
      </c>
      <c r="B39" s="10" t="s">
        <v>89</v>
      </c>
      <c r="C39" s="10" t="s">
        <v>26</v>
      </c>
      <c r="D39" s="10" t="s">
        <v>37</v>
      </c>
      <c r="E39" s="11">
        <v>24</v>
      </c>
      <c r="F39" s="11">
        <v>8</v>
      </c>
      <c r="G39" s="11" t="s">
        <v>90</v>
      </c>
      <c r="H39" s="8">
        <f t="shared" si="0"/>
        <v>192</v>
      </c>
    </row>
    <row r="40" spans="1:8" x14ac:dyDescent="0.3">
      <c r="A40" s="11">
        <v>1039</v>
      </c>
      <c r="B40" s="10" t="s">
        <v>91</v>
      </c>
      <c r="C40" s="10" t="s">
        <v>29</v>
      </c>
      <c r="D40" s="10" t="s">
        <v>24</v>
      </c>
      <c r="E40" s="11">
        <v>16</v>
      </c>
      <c r="F40" s="11">
        <v>50</v>
      </c>
      <c r="G40" s="11" t="s">
        <v>92</v>
      </c>
      <c r="H40" s="8">
        <f t="shared" si="0"/>
        <v>800</v>
      </c>
    </row>
    <row r="41" spans="1:8" x14ac:dyDescent="0.3">
      <c r="A41" s="11">
        <v>1040</v>
      </c>
      <c r="B41" s="10" t="s">
        <v>93</v>
      </c>
      <c r="C41" s="10" t="s">
        <v>32</v>
      </c>
      <c r="D41" s="10" t="s">
        <v>27</v>
      </c>
      <c r="E41" s="11">
        <v>27</v>
      </c>
      <c r="F41" s="11">
        <v>10</v>
      </c>
      <c r="G41" s="11" t="s">
        <v>94</v>
      </c>
      <c r="H41" s="8">
        <f t="shared" si="0"/>
        <v>270</v>
      </c>
    </row>
    <row r="42" spans="1:8" x14ac:dyDescent="0.3">
      <c r="A42" s="11">
        <v>1041</v>
      </c>
      <c r="B42" s="10" t="s">
        <v>95</v>
      </c>
      <c r="C42" s="10" t="s">
        <v>23</v>
      </c>
      <c r="D42" s="10" t="s">
        <v>30</v>
      </c>
      <c r="E42" s="11">
        <v>21</v>
      </c>
      <c r="F42" s="11">
        <v>25</v>
      </c>
      <c r="G42" s="11" t="s">
        <v>96</v>
      </c>
      <c r="H42" s="8">
        <f t="shared" si="0"/>
        <v>525</v>
      </c>
    </row>
    <row r="43" spans="1:8" x14ac:dyDescent="0.3">
      <c r="A43" s="11">
        <v>1042</v>
      </c>
      <c r="B43" s="10" t="s">
        <v>97</v>
      </c>
      <c r="C43" s="10" t="s">
        <v>26</v>
      </c>
      <c r="D43" s="10" t="s">
        <v>34</v>
      </c>
      <c r="E43" s="11">
        <v>30</v>
      </c>
      <c r="F43" s="11">
        <v>5</v>
      </c>
      <c r="G43" s="11" t="s">
        <v>98</v>
      </c>
      <c r="H43" s="8">
        <f t="shared" si="0"/>
        <v>150</v>
      </c>
    </row>
    <row r="44" spans="1:8" x14ac:dyDescent="0.3">
      <c r="A44" s="11">
        <v>1043</v>
      </c>
      <c r="B44" s="10" t="s">
        <v>99</v>
      </c>
      <c r="C44" s="10" t="s">
        <v>29</v>
      </c>
      <c r="D44" s="10" t="s">
        <v>37</v>
      </c>
      <c r="E44" s="11">
        <v>26</v>
      </c>
      <c r="F44" s="11">
        <v>8</v>
      </c>
      <c r="G44" s="12">
        <v>45294</v>
      </c>
      <c r="H44" s="8">
        <f t="shared" si="0"/>
        <v>208</v>
      </c>
    </row>
    <row r="45" spans="1:8" x14ac:dyDescent="0.3">
      <c r="A45" s="11">
        <v>1044</v>
      </c>
      <c r="B45" s="10" t="s">
        <v>100</v>
      </c>
      <c r="C45" s="10" t="s">
        <v>32</v>
      </c>
      <c r="D45" s="10" t="s">
        <v>24</v>
      </c>
      <c r="E45" s="11">
        <v>14</v>
      </c>
      <c r="F45" s="11">
        <v>50</v>
      </c>
      <c r="G45" s="12">
        <v>45325</v>
      </c>
      <c r="H45" s="8">
        <f t="shared" si="0"/>
        <v>700</v>
      </c>
    </row>
    <row r="46" spans="1:8" x14ac:dyDescent="0.3">
      <c r="A46" s="11">
        <v>1045</v>
      </c>
      <c r="B46" s="10" t="s">
        <v>101</v>
      </c>
      <c r="C46" s="10" t="s">
        <v>23</v>
      </c>
      <c r="D46" s="10" t="s">
        <v>27</v>
      </c>
      <c r="E46" s="11">
        <v>20</v>
      </c>
      <c r="F46" s="11">
        <v>10</v>
      </c>
      <c r="G46" s="12">
        <v>45354</v>
      </c>
      <c r="H46" s="8">
        <f t="shared" si="0"/>
        <v>200</v>
      </c>
    </row>
    <row r="47" spans="1:8" x14ac:dyDescent="0.3">
      <c r="A47" s="11">
        <v>1046</v>
      </c>
      <c r="B47" s="10" t="s">
        <v>102</v>
      </c>
      <c r="C47" s="10" t="s">
        <v>26</v>
      </c>
      <c r="D47" s="10" t="s">
        <v>30</v>
      </c>
      <c r="E47" s="11">
        <v>17</v>
      </c>
      <c r="F47" s="11">
        <v>25</v>
      </c>
      <c r="G47" s="12">
        <v>45385</v>
      </c>
      <c r="H47" s="8">
        <f t="shared" si="0"/>
        <v>425</v>
      </c>
    </row>
    <row r="48" spans="1:8" x14ac:dyDescent="0.3">
      <c r="A48" s="11">
        <v>1047</v>
      </c>
      <c r="B48" s="10" t="s">
        <v>103</v>
      </c>
      <c r="C48" s="10" t="s">
        <v>29</v>
      </c>
      <c r="D48" s="10" t="s">
        <v>34</v>
      </c>
      <c r="E48" s="11">
        <v>19</v>
      </c>
      <c r="F48" s="11">
        <v>5</v>
      </c>
      <c r="G48" s="12">
        <v>45415</v>
      </c>
      <c r="H48" s="8">
        <f t="shared" si="0"/>
        <v>95</v>
      </c>
    </row>
    <row r="49" spans="1:8" x14ac:dyDescent="0.3">
      <c r="A49" s="11">
        <v>1048</v>
      </c>
      <c r="B49" s="10" t="s">
        <v>104</v>
      </c>
      <c r="C49" s="10" t="s">
        <v>32</v>
      </c>
      <c r="D49" s="10" t="s">
        <v>37</v>
      </c>
      <c r="E49" s="11">
        <v>32</v>
      </c>
      <c r="F49" s="11">
        <v>8</v>
      </c>
      <c r="G49" s="12">
        <v>45446</v>
      </c>
      <c r="H49" s="8">
        <f t="shared" si="0"/>
        <v>256</v>
      </c>
    </row>
    <row r="50" spans="1:8" x14ac:dyDescent="0.3">
      <c r="A50" s="11">
        <v>1049</v>
      </c>
      <c r="B50" s="10" t="s">
        <v>105</v>
      </c>
      <c r="C50" s="10" t="s">
        <v>23</v>
      </c>
      <c r="D50" s="10" t="s">
        <v>24</v>
      </c>
      <c r="E50" s="11">
        <v>12</v>
      </c>
      <c r="F50" s="11">
        <v>50</v>
      </c>
      <c r="G50" s="12">
        <v>45476</v>
      </c>
      <c r="H50" s="8">
        <f t="shared" si="0"/>
        <v>600</v>
      </c>
    </row>
    <row r="51" spans="1:8" x14ac:dyDescent="0.3">
      <c r="A51" s="11">
        <v>1050</v>
      </c>
      <c r="B51" s="10" t="s">
        <v>106</v>
      </c>
      <c r="C51" s="10" t="s">
        <v>26</v>
      </c>
      <c r="D51" s="10" t="s">
        <v>27</v>
      </c>
      <c r="E51" s="11">
        <v>25</v>
      </c>
      <c r="F51" s="11">
        <v>10</v>
      </c>
      <c r="G51" s="12">
        <v>45507</v>
      </c>
      <c r="H51" s="8">
        <f t="shared" si="0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kisan.kr.02@gmail.com</dc:creator>
  <cp:lastModifiedBy>kisan.kr.02@gmail.com</cp:lastModifiedBy>
  <dcterms:created xsi:type="dcterms:W3CDTF">2026-01-13T11:15:38Z</dcterms:created>
  <dcterms:modified xsi:type="dcterms:W3CDTF">2026-01-13T13:18:57Z</dcterms:modified>
</cp:coreProperties>
</file>